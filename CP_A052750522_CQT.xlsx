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eu Drive\myworld\sisCQT_app\"/>
    </mc:Choice>
  </mc:AlternateContent>
  <xr:revisionPtr revIDLastSave="0" documentId="13_ncr:1_{0D922CED-D189-4B99-B11D-8AE68C718FB7}" xr6:coauthVersionLast="47" xr6:coauthVersionMax="47" xr10:uidLastSave="{00000000-0000-0000-0000-000000000000}"/>
  <bookViews>
    <workbookView xWindow="-108" yWindow="-108" windowWidth="23256" windowHeight="12456" tabRatio="894" firstSheet="1" activeTab="2" xr2:uid="{00000000-000D-0000-FFFF-FFFF00000000}"/>
  </bookViews>
  <sheets>
    <sheet name="DADOS" sheetId="1" r:id="rId1"/>
    <sheet name="ATUAL" sheetId="2" r:id="rId2"/>
    <sheet name="CQT ATUAL" sheetId="3" r:id="rId3"/>
    <sheet name="ATUAL+NC" sheetId="4" r:id="rId4"/>
    <sheet name="CQT ATUAL+NC" sheetId="5" r:id="rId5"/>
    <sheet name="PROJ 01" sheetId="6" r:id="rId6"/>
    <sheet name="CQT PROJ 01" sheetId="7" r:id="rId7"/>
    <sheet name="MELHORADO" sheetId="12" r:id="rId8"/>
    <sheet name="CQT MELHORADO" sheetId="13" r:id="rId9"/>
    <sheet name="BASE DE DADOS" sheetId="11" state="hidden" r:id="rId10"/>
  </sheets>
  <definedNames>
    <definedName name="_FilterDatabase_0" localSheetId="9">'BASE DE DADOS'!$P$1:$R$122</definedName>
    <definedName name="_FilterDatabase_0_0" localSheetId="9">'BASE DE DADOS'!$P$1:$R$122</definedName>
    <definedName name="_xlnm._FilterDatabase" localSheetId="9" hidden="1">'BASE DE DADOS'!$P$1:$R$122</definedName>
    <definedName name="_xlnm._FilterDatabase" localSheetId="0" hidden="1">DADOS!$A$1:$C$481</definedName>
  </definedNames>
  <calcPr calcId="181029"/>
  <extLst>
    <ext uri="GoogleSheetsCustomDataVersion2">
      <go:sheetsCustomData xmlns:go="http://customooxmlschemas.google.com/" r:id="rId15" roundtripDataChecksum="vrc0Jn9CXY+0yy7rRWykn5mnxE8L2liAAW8zVoWzwHU="/>
    </ext>
  </extLst>
</workbook>
</file>

<file path=xl/calcChain.xml><?xml version="1.0" encoding="utf-8"?>
<calcChain xmlns="http://schemas.openxmlformats.org/spreadsheetml/2006/main">
  <c r="C7" i="2" l="1"/>
  <c r="D7" i="2"/>
  <c r="D6" i="2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B4" i="13"/>
  <c r="R57" i="12"/>
  <c r="E64" i="13" s="1"/>
  <c r="K57" i="12"/>
  <c r="D64" i="13" s="1"/>
  <c r="R56" i="12"/>
  <c r="E63" i="13" s="1"/>
  <c r="K56" i="12"/>
  <c r="D63" i="13" s="1"/>
  <c r="R55" i="12"/>
  <c r="E62" i="13" s="1"/>
  <c r="K55" i="12"/>
  <c r="D62" i="13" s="1"/>
  <c r="R54" i="12"/>
  <c r="E61" i="13" s="1"/>
  <c r="K54" i="12"/>
  <c r="D61" i="13" s="1"/>
  <c r="R53" i="12"/>
  <c r="E60" i="13" s="1"/>
  <c r="K53" i="12"/>
  <c r="D60" i="13" s="1"/>
  <c r="R52" i="12"/>
  <c r="E59" i="13" s="1"/>
  <c r="K52" i="12"/>
  <c r="D59" i="13" s="1"/>
  <c r="R51" i="12"/>
  <c r="E58" i="13" s="1"/>
  <c r="K51" i="12"/>
  <c r="D58" i="13" s="1"/>
  <c r="R50" i="12"/>
  <c r="E57" i="13" s="1"/>
  <c r="K50" i="12"/>
  <c r="D57" i="13" s="1"/>
  <c r="R49" i="12"/>
  <c r="E56" i="13" s="1"/>
  <c r="K49" i="12"/>
  <c r="D56" i="13" s="1"/>
  <c r="R48" i="12"/>
  <c r="E55" i="13" s="1"/>
  <c r="K48" i="12"/>
  <c r="D55" i="13" s="1"/>
  <c r="R47" i="12"/>
  <c r="E54" i="13" s="1"/>
  <c r="K47" i="12"/>
  <c r="D54" i="13" s="1"/>
  <c r="R46" i="12"/>
  <c r="E53" i="13" s="1"/>
  <c r="K46" i="12"/>
  <c r="D53" i="13" s="1"/>
  <c r="R45" i="12"/>
  <c r="E52" i="13" s="1"/>
  <c r="K45" i="12"/>
  <c r="D52" i="13" s="1"/>
  <c r="R44" i="12"/>
  <c r="E51" i="13" s="1"/>
  <c r="K44" i="12"/>
  <c r="D51" i="13" s="1"/>
  <c r="R43" i="12"/>
  <c r="E50" i="13" s="1"/>
  <c r="K43" i="12"/>
  <c r="D50" i="13" s="1"/>
  <c r="R42" i="12"/>
  <c r="E49" i="13" s="1"/>
  <c r="K42" i="12"/>
  <c r="D49" i="13" s="1"/>
  <c r="R41" i="12"/>
  <c r="E48" i="13" s="1"/>
  <c r="K41" i="12"/>
  <c r="D48" i="13" s="1"/>
  <c r="R40" i="12"/>
  <c r="E47" i="13" s="1"/>
  <c r="K40" i="12"/>
  <c r="D47" i="13" s="1"/>
  <c r="R39" i="12"/>
  <c r="E46" i="13" s="1"/>
  <c r="K39" i="12"/>
  <c r="D46" i="13" s="1"/>
  <c r="R38" i="12"/>
  <c r="E45" i="13" s="1"/>
  <c r="K38" i="12"/>
  <c r="D45" i="13" s="1"/>
  <c r="R37" i="12"/>
  <c r="E44" i="13" s="1"/>
  <c r="K37" i="12"/>
  <c r="D44" i="13" s="1"/>
  <c r="R36" i="12"/>
  <c r="E43" i="13" s="1"/>
  <c r="K36" i="12"/>
  <c r="D43" i="13" s="1"/>
  <c r="R35" i="12"/>
  <c r="E42" i="13" s="1"/>
  <c r="K35" i="12"/>
  <c r="D42" i="13" s="1"/>
  <c r="R34" i="12"/>
  <c r="E41" i="13" s="1"/>
  <c r="K34" i="12"/>
  <c r="D41" i="13" s="1"/>
  <c r="R33" i="12"/>
  <c r="E40" i="13" s="1"/>
  <c r="K33" i="12"/>
  <c r="D40" i="13" s="1"/>
  <c r="R32" i="12"/>
  <c r="E39" i="13" s="1"/>
  <c r="K32" i="12"/>
  <c r="D39" i="13" s="1"/>
  <c r="R31" i="12"/>
  <c r="E38" i="13" s="1"/>
  <c r="K31" i="12"/>
  <c r="D38" i="13" s="1"/>
  <c r="R30" i="12"/>
  <c r="E37" i="13" s="1"/>
  <c r="K30" i="12"/>
  <c r="D37" i="13" s="1"/>
  <c r="R29" i="12"/>
  <c r="E36" i="13" s="1"/>
  <c r="K29" i="12"/>
  <c r="D36" i="13" s="1"/>
  <c r="R28" i="12"/>
  <c r="E35" i="13" s="1"/>
  <c r="K28" i="12"/>
  <c r="D35" i="13" s="1"/>
  <c r="R27" i="12"/>
  <c r="E34" i="13" s="1"/>
  <c r="K27" i="12"/>
  <c r="D34" i="13" s="1"/>
  <c r="R26" i="12"/>
  <c r="E33" i="13" s="1"/>
  <c r="K26" i="12"/>
  <c r="D33" i="13" s="1"/>
  <c r="R25" i="12"/>
  <c r="E32" i="13" s="1"/>
  <c r="K25" i="12"/>
  <c r="D32" i="13" s="1"/>
  <c r="R24" i="12"/>
  <c r="E31" i="13" s="1"/>
  <c r="K24" i="12"/>
  <c r="D31" i="13" s="1"/>
  <c r="R23" i="12"/>
  <c r="E30" i="13" s="1"/>
  <c r="K23" i="12"/>
  <c r="D30" i="13" s="1"/>
  <c r="R22" i="12"/>
  <c r="E29" i="13" s="1"/>
  <c r="K22" i="12"/>
  <c r="D29" i="13" s="1"/>
  <c r="R21" i="12"/>
  <c r="E28" i="13" s="1"/>
  <c r="K21" i="12"/>
  <c r="D28" i="13" s="1"/>
  <c r="R20" i="12"/>
  <c r="E27" i="13" s="1"/>
  <c r="K20" i="12"/>
  <c r="D27" i="13" s="1"/>
  <c r="R19" i="12"/>
  <c r="E26" i="13" s="1"/>
  <c r="K19" i="12"/>
  <c r="D26" i="13" s="1"/>
  <c r="R18" i="12"/>
  <c r="E25" i="13" s="1"/>
  <c r="K18" i="12"/>
  <c r="D25" i="13" s="1"/>
  <c r="R17" i="12"/>
  <c r="E24" i="13" s="1"/>
  <c r="K17" i="12"/>
  <c r="D24" i="13" s="1"/>
  <c r="R16" i="12"/>
  <c r="E23" i="13" s="1"/>
  <c r="K16" i="12"/>
  <c r="D23" i="13" s="1"/>
  <c r="R15" i="12"/>
  <c r="E22" i="13" s="1"/>
  <c r="K15" i="12"/>
  <c r="D22" i="13" s="1"/>
  <c r="R14" i="12"/>
  <c r="E21" i="13" s="1"/>
  <c r="K14" i="12"/>
  <c r="D21" i="13" s="1"/>
  <c r="R13" i="12"/>
  <c r="E20" i="13" s="1"/>
  <c r="K13" i="12"/>
  <c r="D20" i="13" s="1"/>
  <c r="R12" i="12"/>
  <c r="E19" i="13" s="1"/>
  <c r="K12" i="12"/>
  <c r="D19" i="13" s="1"/>
  <c r="R11" i="12"/>
  <c r="E18" i="13" s="1"/>
  <c r="K11" i="12"/>
  <c r="D18" i="13" s="1"/>
  <c r="R10" i="12"/>
  <c r="E17" i="13" s="1"/>
  <c r="K10" i="12"/>
  <c r="D17" i="13" s="1"/>
  <c r="R9" i="12"/>
  <c r="E16" i="13" s="1"/>
  <c r="K9" i="12"/>
  <c r="D16" i="13" s="1"/>
  <c r="R8" i="12"/>
  <c r="E15" i="13" s="1"/>
  <c r="K8" i="12"/>
  <c r="D15" i="13" s="1"/>
  <c r="R7" i="12"/>
  <c r="E14" i="13" s="1"/>
  <c r="K7" i="12"/>
  <c r="G7" i="12"/>
  <c r="R6" i="12"/>
  <c r="E13" i="13" s="1"/>
  <c r="K6" i="12"/>
  <c r="D13" i="13" s="1"/>
  <c r="G6" i="12"/>
  <c r="R5" i="12"/>
  <c r="E12" i="13" s="1"/>
  <c r="K5" i="12"/>
  <c r="D12" i="13" s="1"/>
  <c r="G5" i="12"/>
  <c r="R4" i="12"/>
  <c r="E11" i="13" s="1"/>
  <c r="K4" i="12"/>
  <c r="D11" i="13" s="1"/>
  <c r="G4" i="12"/>
  <c r="C4" i="12"/>
  <c r="R3" i="12"/>
  <c r="K3" i="12"/>
  <c r="G3" i="12"/>
  <c r="C12" i="7"/>
  <c r="P9" i="6"/>
  <c r="O9" i="6"/>
  <c r="N9" i="6"/>
  <c r="M9" i="6"/>
  <c r="L9" i="6"/>
  <c r="P8" i="6"/>
  <c r="O8" i="6"/>
  <c r="N8" i="6"/>
  <c r="M8" i="6"/>
  <c r="L8" i="6"/>
  <c r="M7" i="6"/>
  <c r="L7" i="6"/>
  <c r="P6" i="6"/>
  <c r="O6" i="6"/>
  <c r="N6" i="6"/>
  <c r="M6" i="6"/>
  <c r="L6" i="6"/>
  <c r="P5" i="6"/>
  <c r="O5" i="6"/>
  <c r="N5" i="6"/>
  <c r="M5" i="6"/>
  <c r="L5" i="6"/>
  <c r="P4" i="6"/>
  <c r="O4" i="6"/>
  <c r="N4" i="6"/>
  <c r="M4" i="6"/>
  <c r="L4" i="6"/>
  <c r="N3" i="6"/>
  <c r="M3" i="6"/>
  <c r="L3" i="6"/>
  <c r="F4" i="7"/>
  <c r="C15" i="7"/>
  <c r="B15" i="7"/>
  <c r="C14" i="7"/>
  <c r="B14" i="7"/>
  <c r="C13" i="7"/>
  <c r="B13" i="7"/>
  <c r="B11" i="7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C11" i="5"/>
  <c r="B11" i="5"/>
  <c r="U4" i="4"/>
  <c r="U5" i="4"/>
  <c r="U6" i="4"/>
  <c r="U7" i="4"/>
  <c r="U8" i="4"/>
  <c r="U9" i="4"/>
  <c r="R9" i="4" s="1"/>
  <c r="E16" i="5" s="1"/>
  <c r="U10" i="4"/>
  <c r="U11" i="4"/>
  <c r="R11" i="4" s="1"/>
  <c r="E18" i="5" s="1"/>
  <c r="U12" i="4"/>
  <c r="U13" i="4"/>
  <c r="U14" i="4"/>
  <c r="U15" i="4"/>
  <c r="U16" i="4"/>
  <c r="U17" i="4"/>
  <c r="R17" i="4" s="1"/>
  <c r="E24" i="5" s="1"/>
  <c r="U18" i="4"/>
  <c r="U19" i="4"/>
  <c r="R19" i="4" s="1"/>
  <c r="E26" i="5" s="1"/>
  <c r="U20" i="4"/>
  <c r="U21" i="4"/>
  <c r="U22" i="4"/>
  <c r="U23" i="4"/>
  <c r="U24" i="4"/>
  <c r="U25" i="4"/>
  <c r="R25" i="4" s="1"/>
  <c r="E32" i="5" s="1"/>
  <c r="U26" i="4"/>
  <c r="U27" i="4"/>
  <c r="R27" i="4" s="1"/>
  <c r="E34" i="5" s="1"/>
  <c r="U28" i="4"/>
  <c r="U29" i="4"/>
  <c r="U30" i="4"/>
  <c r="U31" i="4"/>
  <c r="U32" i="4"/>
  <c r="U33" i="4"/>
  <c r="R33" i="4" s="1"/>
  <c r="E40" i="5" s="1"/>
  <c r="U34" i="4"/>
  <c r="U35" i="4"/>
  <c r="R35" i="4" s="1"/>
  <c r="E42" i="5" s="1"/>
  <c r="U36" i="4"/>
  <c r="U37" i="4"/>
  <c r="U38" i="4"/>
  <c r="U39" i="4"/>
  <c r="U40" i="4"/>
  <c r="U41" i="4"/>
  <c r="R41" i="4" s="1"/>
  <c r="E48" i="5" s="1"/>
  <c r="U42" i="4"/>
  <c r="U43" i="4"/>
  <c r="R43" i="4" s="1"/>
  <c r="E50" i="5" s="1"/>
  <c r="U44" i="4"/>
  <c r="U45" i="4"/>
  <c r="U46" i="4"/>
  <c r="U47" i="4"/>
  <c r="U48" i="4"/>
  <c r="U49" i="4"/>
  <c r="R49" i="4" s="1"/>
  <c r="E56" i="5" s="1"/>
  <c r="U50" i="4"/>
  <c r="U51" i="4"/>
  <c r="R51" i="4" s="1"/>
  <c r="E58" i="5" s="1"/>
  <c r="U52" i="4"/>
  <c r="U53" i="4"/>
  <c r="U54" i="4"/>
  <c r="U55" i="4"/>
  <c r="U56" i="4"/>
  <c r="U57" i="4"/>
  <c r="R57" i="4" s="1"/>
  <c r="E64" i="5" s="1"/>
  <c r="U3" i="4"/>
  <c r="L4" i="4"/>
  <c r="M4" i="4"/>
  <c r="N4" i="4"/>
  <c r="O4" i="4"/>
  <c r="P4" i="4"/>
  <c r="L5" i="4"/>
  <c r="M5" i="4"/>
  <c r="N5" i="4"/>
  <c r="O5" i="4"/>
  <c r="P5" i="4"/>
  <c r="L6" i="4"/>
  <c r="M6" i="4"/>
  <c r="N6" i="4"/>
  <c r="O6" i="4"/>
  <c r="P6" i="4"/>
  <c r="L7" i="4"/>
  <c r="M7" i="4"/>
  <c r="L8" i="4"/>
  <c r="M8" i="4"/>
  <c r="N8" i="4"/>
  <c r="O8" i="4"/>
  <c r="P8" i="4"/>
  <c r="L9" i="4"/>
  <c r="M9" i="4"/>
  <c r="N9" i="4"/>
  <c r="O9" i="4"/>
  <c r="P9" i="4"/>
  <c r="L10" i="4"/>
  <c r="M10" i="4"/>
  <c r="N10" i="4"/>
  <c r="O10" i="4"/>
  <c r="P10" i="4"/>
  <c r="L11" i="4"/>
  <c r="M11" i="4"/>
  <c r="N11" i="4"/>
  <c r="O11" i="4"/>
  <c r="P11" i="4"/>
  <c r="L12" i="4"/>
  <c r="M12" i="4"/>
  <c r="N12" i="4"/>
  <c r="O12" i="4"/>
  <c r="P12" i="4"/>
  <c r="L13" i="4"/>
  <c r="M13" i="4"/>
  <c r="N13" i="4"/>
  <c r="O13" i="4"/>
  <c r="P13" i="4"/>
  <c r="L14" i="4"/>
  <c r="M14" i="4"/>
  <c r="N14" i="4"/>
  <c r="O14" i="4"/>
  <c r="P14" i="4"/>
  <c r="L15" i="4"/>
  <c r="M15" i="4"/>
  <c r="N15" i="4"/>
  <c r="O15" i="4"/>
  <c r="P15" i="4"/>
  <c r="L16" i="4"/>
  <c r="M16" i="4"/>
  <c r="N16" i="4"/>
  <c r="O16" i="4"/>
  <c r="P16" i="4"/>
  <c r="L17" i="4"/>
  <c r="M17" i="4"/>
  <c r="N17" i="4"/>
  <c r="O17" i="4"/>
  <c r="P17" i="4"/>
  <c r="L18" i="4"/>
  <c r="M18" i="4"/>
  <c r="N18" i="4"/>
  <c r="O18" i="4"/>
  <c r="P18" i="4"/>
  <c r="L19" i="4"/>
  <c r="M19" i="4"/>
  <c r="N19" i="4"/>
  <c r="O19" i="4"/>
  <c r="P19" i="4"/>
  <c r="L20" i="4"/>
  <c r="M20" i="4"/>
  <c r="N20" i="4"/>
  <c r="O20" i="4"/>
  <c r="P20" i="4"/>
  <c r="L21" i="4"/>
  <c r="M21" i="4"/>
  <c r="N21" i="4"/>
  <c r="O21" i="4"/>
  <c r="P21" i="4"/>
  <c r="L22" i="4"/>
  <c r="M22" i="4"/>
  <c r="N22" i="4"/>
  <c r="O22" i="4"/>
  <c r="P22" i="4"/>
  <c r="L23" i="4"/>
  <c r="M23" i="4"/>
  <c r="N23" i="4"/>
  <c r="O23" i="4"/>
  <c r="P23" i="4"/>
  <c r="L24" i="4"/>
  <c r="M24" i="4"/>
  <c r="N24" i="4"/>
  <c r="O24" i="4"/>
  <c r="P24" i="4"/>
  <c r="L25" i="4"/>
  <c r="M25" i="4"/>
  <c r="N25" i="4"/>
  <c r="O25" i="4"/>
  <c r="P25" i="4"/>
  <c r="L26" i="4"/>
  <c r="M26" i="4"/>
  <c r="N26" i="4"/>
  <c r="O26" i="4"/>
  <c r="P26" i="4"/>
  <c r="L27" i="4"/>
  <c r="M27" i="4"/>
  <c r="N27" i="4"/>
  <c r="O27" i="4"/>
  <c r="P27" i="4"/>
  <c r="L28" i="4"/>
  <c r="M28" i="4"/>
  <c r="N28" i="4"/>
  <c r="O28" i="4"/>
  <c r="P28" i="4"/>
  <c r="L29" i="4"/>
  <c r="M29" i="4"/>
  <c r="N29" i="4"/>
  <c r="O29" i="4"/>
  <c r="P29" i="4"/>
  <c r="L30" i="4"/>
  <c r="M30" i="4"/>
  <c r="N30" i="4"/>
  <c r="O30" i="4"/>
  <c r="P30" i="4"/>
  <c r="L31" i="4"/>
  <c r="M31" i="4"/>
  <c r="N31" i="4"/>
  <c r="O31" i="4"/>
  <c r="P31" i="4"/>
  <c r="L32" i="4"/>
  <c r="M32" i="4"/>
  <c r="N32" i="4"/>
  <c r="O32" i="4"/>
  <c r="P32" i="4"/>
  <c r="L33" i="4"/>
  <c r="M33" i="4"/>
  <c r="N33" i="4"/>
  <c r="O33" i="4"/>
  <c r="P33" i="4"/>
  <c r="L34" i="4"/>
  <c r="M34" i="4"/>
  <c r="N34" i="4"/>
  <c r="O34" i="4"/>
  <c r="P34" i="4"/>
  <c r="L35" i="4"/>
  <c r="M35" i="4"/>
  <c r="N35" i="4"/>
  <c r="O35" i="4"/>
  <c r="P35" i="4"/>
  <c r="L36" i="4"/>
  <c r="M36" i="4"/>
  <c r="N36" i="4"/>
  <c r="O36" i="4"/>
  <c r="P36" i="4"/>
  <c r="L37" i="4"/>
  <c r="M37" i="4"/>
  <c r="N37" i="4"/>
  <c r="O37" i="4"/>
  <c r="P37" i="4"/>
  <c r="L38" i="4"/>
  <c r="M38" i="4"/>
  <c r="N38" i="4"/>
  <c r="O38" i="4"/>
  <c r="P38" i="4"/>
  <c r="L39" i="4"/>
  <c r="M39" i="4"/>
  <c r="N39" i="4"/>
  <c r="O39" i="4"/>
  <c r="P39" i="4"/>
  <c r="L40" i="4"/>
  <c r="M40" i="4"/>
  <c r="N40" i="4"/>
  <c r="O40" i="4"/>
  <c r="P40" i="4"/>
  <c r="L41" i="4"/>
  <c r="M41" i="4"/>
  <c r="N41" i="4"/>
  <c r="O41" i="4"/>
  <c r="P41" i="4"/>
  <c r="L42" i="4"/>
  <c r="M42" i="4"/>
  <c r="N42" i="4"/>
  <c r="O42" i="4"/>
  <c r="P42" i="4"/>
  <c r="L43" i="4"/>
  <c r="M43" i="4"/>
  <c r="N43" i="4"/>
  <c r="O43" i="4"/>
  <c r="P43" i="4"/>
  <c r="L44" i="4"/>
  <c r="M44" i="4"/>
  <c r="N44" i="4"/>
  <c r="O44" i="4"/>
  <c r="P44" i="4"/>
  <c r="L45" i="4"/>
  <c r="M45" i="4"/>
  <c r="N45" i="4"/>
  <c r="O45" i="4"/>
  <c r="P45" i="4"/>
  <c r="L46" i="4"/>
  <c r="M46" i="4"/>
  <c r="N46" i="4"/>
  <c r="O46" i="4"/>
  <c r="P46" i="4"/>
  <c r="L47" i="4"/>
  <c r="M47" i="4"/>
  <c r="N47" i="4"/>
  <c r="O47" i="4"/>
  <c r="P47" i="4"/>
  <c r="L48" i="4"/>
  <c r="M48" i="4"/>
  <c r="N48" i="4"/>
  <c r="O48" i="4"/>
  <c r="P48" i="4"/>
  <c r="L49" i="4"/>
  <c r="M49" i="4"/>
  <c r="N49" i="4"/>
  <c r="O49" i="4"/>
  <c r="P49" i="4"/>
  <c r="L50" i="4"/>
  <c r="M50" i="4"/>
  <c r="N50" i="4"/>
  <c r="O50" i="4"/>
  <c r="P50" i="4"/>
  <c r="L51" i="4"/>
  <c r="M51" i="4"/>
  <c r="N51" i="4"/>
  <c r="O51" i="4"/>
  <c r="P51" i="4"/>
  <c r="L52" i="4"/>
  <c r="M52" i="4"/>
  <c r="N52" i="4"/>
  <c r="O52" i="4"/>
  <c r="P52" i="4"/>
  <c r="L53" i="4"/>
  <c r="M53" i="4"/>
  <c r="N53" i="4"/>
  <c r="O53" i="4"/>
  <c r="P53" i="4"/>
  <c r="L54" i="4"/>
  <c r="M54" i="4"/>
  <c r="N54" i="4"/>
  <c r="O54" i="4"/>
  <c r="P54" i="4"/>
  <c r="L55" i="4"/>
  <c r="M55" i="4"/>
  <c r="N55" i="4"/>
  <c r="O55" i="4"/>
  <c r="P55" i="4"/>
  <c r="L56" i="4"/>
  <c r="M56" i="4"/>
  <c r="N56" i="4"/>
  <c r="O56" i="4"/>
  <c r="P56" i="4"/>
  <c r="L57" i="4"/>
  <c r="M57" i="4"/>
  <c r="N57" i="4"/>
  <c r="O57" i="4"/>
  <c r="P57" i="4"/>
  <c r="M3" i="4"/>
  <c r="N3" i="4"/>
  <c r="O3" i="4"/>
  <c r="P3" i="4"/>
  <c r="L3" i="4"/>
  <c r="C5" i="6"/>
  <c r="K57" i="6" s="1"/>
  <c r="D64" i="7" s="1"/>
  <c r="F64" i="7" s="1"/>
  <c r="C5" i="4"/>
  <c r="K51" i="4" s="1"/>
  <c r="D58" i="5" s="1"/>
  <c r="R3" i="4"/>
  <c r="R4" i="4"/>
  <c r="E11" i="5" s="1"/>
  <c r="R5" i="4"/>
  <c r="R6" i="4"/>
  <c r="E13" i="5" s="1"/>
  <c r="R7" i="4"/>
  <c r="R8" i="4"/>
  <c r="R10" i="4"/>
  <c r="R12" i="4"/>
  <c r="E19" i="5" s="1"/>
  <c r="R13" i="4"/>
  <c r="R14" i="4"/>
  <c r="E21" i="5" s="1"/>
  <c r="R15" i="4"/>
  <c r="R16" i="4"/>
  <c r="R18" i="4"/>
  <c r="R20" i="4"/>
  <c r="E27" i="5" s="1"/>
  <c r="R21" i="4"/>
  <c r="R22" i="4"/>
  <c r="E29" i="5" s="1"/>
  <c r="R23" i="4"/>
  <c r="R24" i="4"/>
  <c r="R26" i="4"/>
  <c r="R28" i="4"/>
  <c r="E35" i="5" s="1"/>
  <c r="R29" i="4"/>
  <c r="R30" i="4"/>
  <c r="R31" i="4"/>
  <c r="R32" i="4"/>
  <c r="R34" i="4"/>
  <c r="R36" i="4"/>
  <c r="E43" i="5" s="1"/>
  <c r="R37" i="4"/>
  <c r="R38" i="4"/>
  <c r="E45" i="5" s="1"/>
  <c r="R39" i="4"/>
  <c r="R40" i="4"/>
  <c r="R42" i="4"/>
  <c r="R44" i="4"/>
  <c r="E51" i="5" s="1"/>
  <c r="R45" i="4"/>
  <c r="R46" i="4"/>
  <c r="E53" i="5" s="1"/>
  <c r="R47" i="4"/>
  <c r="R48" i="4"/>
  <c r="R50" i="4"/>
  <c r="R52" i="4"/>
  <c r="E59" i="5" s="1"/>
  <c r="R53" i="4"/>
  <c r="R54" i="4"/>
  <c r="E61" i="5" s="1"/>
  <c r="R55" i="4"/>
  <c r="R56" i="4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E48" i="7"/>
  <c r="J47" i="7"/>
  <c r="J46" i="7"/>
  <c r="E46" i="7"/>
  <c r="J45" i="7"/>
  <c r="E45" i="7"/>
  <c r="J44" i="7"/>
  <c r="E44" i="7"/>
  <c r="J43" i="7"/>
  <c r="J42" i="7"/>
  <c r="E42" i="7"/>
  <c r="J41" i="7"/>
  <c r="J40" i="7"/>
  <c r="E40" i="7"/>
  <c r="J39" i="7"/>
  <c r="J38" i="7"/>
  <c r="E38" i="7"/>
  <c r="J37" i="7"/>
  <c r="E37" i="7"/>
  <c r="J36" i="7"/>
  <c r="E36" i="7"/>
  <c r="J35" i="7"/>
  <c r="J34" i="7"/>
  <c r="E34" i="7"/>
  <c r="J33" i="7"/>
  <c r="J32" i="7"/>
  <c r="E32" i="7"/>
  <c r="J31" i="7"/>
  <c r="J30" i="7"/>
  <c r="E30" i="7"/>
  <c r="J29" i="7"/>
  <c r="J28" i="7"/>
  <c r="E28" i="7"/>
  <c r="J27" i="7"/>
  <c r="J26" i="7"/>
  <c r="E26" i="7"/>
  <c r="J25" i="7"/>
  <c r="J24" i="7"/>
  <c r="E24" i="7"/>
  <c r="J23" i="7"/>
  <c r="J22" i="7"/>
  <c r="E22" i="7"/>
  <c r="J21" i="7"/>
  <c r="J20" i="7"/>
  <c r="E20" i="7"/>
  <c r="J19" i="7"/>
  <c r="J18" i="7"/>
  <c r="E18" i="7"/>
  <c r="J17" i="7"/>
  <c r="J16" i="7"/>
  <c r="E16" i="7"/>
  <c r="J15" i="7"/>
  <c r="J14" i="7"/>
  <c r="E14" i="7"/>
  <c r="J13" i="7"/>
  <c r="J12" i="7"/>
  <c r="J11" i="7"/>
  <c r="B5" i="7"/>
  <c r="B4" i="7"/>
  <c r="B1" i="7"/>
  <c r="R57" i="6"/>
  <c r="E64" i="7" s="1"/>
  <c r="R56" i="6"/>
  <c r="E63" i="7" s="1"/>
  <c r="R55" i="6"/>
  <c r="E62" i="7" s="1"/>
  <c r="R54" i="6"/>
  <c r="E61" i="7" s="1"/>
  <c r="R53" i="6"/>
  <c r="E60" i="7" s="1"/>
  <c r="R52" i="6"/>
  <c r="E59" i="7" s="1"/>
  <c r="R51" i="6"/>
  <c r="E58" i="7" s="1"/>
  <c r="R50" i="6"/>
  <c r="E57" i="7" s="1"/>
  <c r="R49" i="6"/>
  <c r="E56" i="7" s="1"/>
  <c r="R48" i="6"/>
  <c r="E55" i="7" s="1"/>
  <c r="R47" i="6"/>
  <c r="E54" i="7" s="1"/>
  <c r="R46" i="6"/>
  <c r="E53" i="7" s="1"/>
  <c r="R45" i="6"/>
  <c r="E52" i="7" s="1"/>
  <c r="R44" i="6"/>
  <c r="E51" i="7" s="1"/>
  <c r="R43" i="6"/>
  <c r="E50" i="7" s="1"/>
  <c r="R42" i="6"/>
  <c r="E49" i="7" s="1"/>
  <c r="R41" i="6"/>
  <c r="R40" i="6"/>
  <c r="E47" i="7" s="1"/>
  <c r="R39" i="6"/>
  <c r="R38" i="6"/>
  <c r="R37" i="6"/>
  <c r="R36" i="6"/>
  <c r="E43" i="7" s="1"/>
  <c r="R35" i="6"/>
  <c r="R34" i="6"/>
  <c r="E41" i="7" s="1"/>
  <c r="R33" i="6"/>
  <c r="R32" i="6"/>
  <c r="E39" i="7" s="1"/>
  <c r="R31" i="6"/>
  <c r="R30" i="6"/>
  <c r="R29" i="6"/>
  <c r="R28" i="6"/>
  <c r="E35" i="7" s="1"/>
  <c r="R27" i="6"/>
  <c r="K27" i="6"/>
  <c r="D34" i="7" s="1"/>
  <c r="F34" i="7" s="1"/>
  <c r="R26" i="6"/>
  <c r="E33" i="7" s="1"/>
  <c r="R25" i="6"/>
  <c r="R24" i="6"/>
  <c r="E31" i="7" s="1"/>
  <c r="R23" i="6"/>
  <c r="R22" i="6"/>
  <c r="E29" i="7" s="1"/>
  <c r="R21" i="6"/>
  <c r="R20" i="6"/>
  <c r="E27" i="7" s="1"/>
  <c r="R19" i="6"/>
  <c r="K19" i="6"/>
  <c r="D26" i="7" s="1"/>
  <c r="F26" i="7" s="1"/>
  <c r="R18" i="6"/>
  <c r="E25" i="7" s="1"/>
  <c r="R17" i="6"/>
  <c r="R16" i="6"/>
  <c r="E23" i="7" s="1"/>
  <c r="R15" i="6"/>
  <c r="R14" i="6"/>
  <c r="E21" i="7" s="1"/>
  <c r="R13" i="6"/>
  <c r="R12" i="6"/>
  <c r="E19" i="7" s="1"/>
  <c r="R11" i="6"/>
  <c r="R10" i="6"/>
  <c r="E17" i="7" s="1"/>
  <c r="R9" i="6"/>
  <c r="R8" i="6"/>
  <c r="E15" i="7" s="1"/>
  <c r="R7" i="6"/>
  <c r="G7" i="6"/>
  <c r="R6" i="6"/>
  <c r="E13" i="7" s="1"/>
  <c r="G6" i="6"/>
  <c r="R5" i="6"/>
  <c r="E12" i="7" s="1"/>
  <c r="G5" i="6"/>
  <c r="R4" i="6"/>
  <c r="E11" i="7" s="1"/>
  <c r="G4" i="6"/>
  <c r="C4" i="6"/>
  <c r="R3" i="6"/>
  <c r="G3" i="6"/>
  <c r="J64" i="5"/>
  <c r="J63" i="5"/>
  <c r="E63" i="5"/>
  <c r="J62" i="5"/>
  <c r="J61" i="5"/>
  <c r="J60" i="5"/>
  <c r="J59" i="5"/>
  <c r="J58" i="5"/>
  <c r="J57" i="5"/>
  <c r="J56" i="5"/>
  <c r="J55" i="5"/>
  <c r="E55" i="5"/>
  <c r="J54" i="5"/>
  <c r="J53" i="5"/>
  <c r="J52" i="5"/>
  <c r="J51" i="5"/>
  <c r="J50" i="5"/>
  <c r="J49" i="5"/>
  <c r="J48" i="5"/>
  <c r="J47" i="5"/>
  <c r="E47" i="5"/>
  <c r="J46" i="5"/>
  <c r="E46" i="5"/>
  <c r="J45" i="5"/>
  <c r="J44" i="5"/>
  <c r="E44" i="5"/>
  <c r="J43" i="5"/>
  <c r="J42" i="5"/>
  <c r="J41" i="5"/>
  <c r="J40" i="5"/>
  <c r="J39" i="5"/>
  <c r="J38" i="5"/>
  <c r="E38" i="5"/>
  <c r="J37" i="5"/>
  <c r="J36" i="5"/>
  <c r="E36" i="5"/>
  <c r="J35" i="5"/>
  <c r="J34" i="5"/>
  <c r="J33" i="5"/>
  <c r="J32" i="5"/>
  <c r="J31" i="5"/>
  <c r="J30" i="5"/>
  <c r="E30" i="5"/>
  <c r="J29" i="5"/>
  <c r="J28" i="5"/>
  <c r="E28" i="5"/>
  <c r="J27" i="5"/>
  <c r="J26" i="5"/>
  <c r="J25" i="5"/>
  <c r="J24" i="5"/>
  <c r="J23" i="5"/>
  <c r="J22" i="5"/>
  <c r="E22" i="5"/>
  <c r="J21" i="5"/>
  <c r="J20" i="5"/>
  <c r="E20" i="5"/>
  <c r="J19" i="5"/>
  <c r="J18" i="5"/>
  <c r="J17" i="5"/>
  <c r="J16" i="5"/>
  <c r="J15" i="5"/>
  <c r="J14" i="5"/>
  <c r="E14" i="5"/>
  <c r="J13" i="5"/>
  <c r="J12" i="5"/>
  <c r="E12" i="5"/>
  <c r="J11" i="5"/>
  <c r="F4" i="5"/>
  <c r="B4" i="5"/>
  <c r="F3" i="5"/>
  <c r="B1" i="5"/>
  <c r="E62" i="5"/>
  <c r="E60" i="5"/>
  <c r="E57" i="5"/>
  <c r="E54" i="5"/>
  <c r="E52" i="5"/>
  <c r="E49" i="5"/>
  <c r="E41" i="5"/>
  <c r="E39" i="5"/>
  <c r="E37" i="5"/>
  <c r="E33" i="5"/>
  <c r="E31" i="5"/>
  <c r="E25" i="5"/>
  <c r="E23" i="5"/>
  <c r="E17" i="5"/>
  <c r="E15" i="5"/>
  <c r="G7" i="4"/>
  <c r="G6" i="4"/>
  <c r="G4" i="4"/>
  <c r="G3" i="4"/>
  <c r="J64" i="3"/>
  <c r="J63" i="3"/>
  <c r="J62" i="3"/>
  <c r="E62" i="3"/>
  <c r="J61" i="3"/>
  <c r="J60" i="3"/>
  <c r="J59" i="3"/>
  <c r="J58" i="3"/>
  <c r="J57" i="3"/>
  <c r="J56" i="3"/>
  <c r="E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E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E16" i="3"/>
  <c r="J15" i="3"/>
  <c r="J14" i="3"/>
  <c r="J13" i="3"/>
  <c r="J12" i="3"/>
  <c r="J11" i="3"/>
  <c r="B4" i="3"/>
  <c r="R57" i="2"/>
  <c r="E64" i="3" s="1"/>
  <c r="K57" i="2"/>
  <c r="D64" i="3" s="1"/>
  <c r="F64" i="3" s="1"/>
  <c r="R56" i="2"/>
  <c r="E63" i="3" s="1"/>
  <c r="K56" i="2"/>
  <c r="D63" i="3" s="1"/>
  <c r="F63" i="3" s="1"/>
  <c r="R55" i="2"/>
  <c r="K55" i="2"/>
  <c r="D62" i="3" s="1"/>
  <c r="F62" i="3" s="1"/>
  <c r="R54" i="2"/>
  <c r="E61" i="3" s="1"/>
  <c r="K54" i="2"/>
  <c r="D61" i="3" s="1"/>
  <c r="F61" i="3" s="1"/>
  <c r="R53" i="2"/>
  <c r="E60" i="3" s="1"/>
  <c r="K53" i="2"/>
  <c r="D60" i="3" s="1"/>
  <c r="F60" i="3" s="1"/>
  <c r="R52" i="2"/>
  <c r="E59" i="3" s="1"/>
  <c r="K52" i="2"/>
  <c r="D59" i="3" s="1"/>
  <c r="F59" i="3" s="1"/>
  <c r="R51" i="2"/>
  <c r="E58" i="3" s="1"/>
  <c r="K51" i="2"/>
  <c r="D58" i="3" s="1"/>
  <c r="F58" i="3" s="1"/>
  <c r="R50" i="2"/>
  <c r="E57" i="3" s="1"/>
  <c r="K50" i="2"/>
  <c r="D57" i="3" s="1"/>
  <c r="F57" i="3" s="1"/>
  <c r="R49" i="2"/>
  <c r="K49" i="2"/>
  <c r="D56" i="3" s="1"/>
  <c r="F56" i="3" s="1"/>
  <c r="R48" i="2"/>
  <c r="E55" i="3" s="1"/>
  <c r="K48" i="2"/>
  <c r="D55" i="3" s="1"/>
  <c r="F55" i="3" s="1"/>
  <c r="R47" i="2"/>
  <c r="E54" i="3" s="1"/>
  <c r="K47" i="2"/>
  <c r="D54" i="3" s="1"/>
  <c r="F54" i="3" s="1"/>
  <c r="R46" i="2"/>
  <c r="E53" i="3" s="1"/>
  <c r="K46" i="2"/>
  <c r="D53" i="3" s="1"/>
  <c r="F53" i="3" s="1"/>
  <c r="R45" i="2"/>
  <c r="E52" i="3" s="1"/>
  <c r="K45" i="2"/>
  <c r="D52" i="3" s="1"/>
  <c r="F52" i="3" s="1"/>
  <c r="R44" i="2"/>
  <c r="E51" i="3" s="1"/>
  <c r="K44" i="2"/>
  <c r="D51" i="3" s="1"/>
  <c r="F51" i="3" s="1"/>
  <c r="R43" i="2"/>
  <c r="E50" i="3" s="1"/>
  <c r="K43" i="2"/>
  <c r="D50" i="3" s="1"/>
  <c r="F50" i="3" s="1"/>
  <c r="R42" i="2"/>
  <c r="E49" i="3" s="1"/>
  <c r="K42" i="2"/>
  <c r="D49" i="3" s="1"/>
  <c r="F49" i="3" s="1"/>
  <c r="R41" i="2"/>
  <c r="E48" i="3" s="1"/>
  <c r="K41" i="2"/>
  <c r="D48" i="3" s="1"/>
  <c r="F48" i="3" s="1"/>
  <c r="R40" i="2"/>
  <c r="E47" i="3" s="1"/>
  <c r="K40" i="2"/>
  <c r="D47" i="3" s="1"/>
  <c r="F47" i="3" s="1"/>
  <c r="R39" i="2"/>
  <c r="E46" i="3" s="1"/>
  <c r="K39" i="2"/>
  <c r="D46" i="3" s="1"/>
  <c r="F46" i="3" s="1"/>
  <c r="R38" i="2"/>
  <c r="E45" i="3" s="1"/>
  <c r="K38" i="2"/>
  <c r="D45" i="3" s="1"/>
  <c r="F45" i="3" s="1"/>
  <c r="R37" i="2"/>
  <c r="E44" i="3" s="1"/>
  <c r="K37" i="2"/>
  <c r="D44" i="3" s="1"/>
  <c r="F44" i="3" s="1"/>
  <c r="R36" i="2"/>
  <c r="E43" i="3" s="1"/>
  <c r="K36" i="2"/>
  <c r="D43" i="3" s="1"/>
  <c r="F43" i="3" s="1"/>
  <c r="R35" i="2"/>
  <c r="E42" i="3" s="1"/>
  <c r="K35" i="2"/>
  <c r="D42" i="3" s="1"/>
  <c r="F42" i="3" s="1"/>
  <c r="R34" i="2"/>
  <c r="E41" i="3" s="1"/>
  <c r="K34" i="2"/>
  <c r="D41" i="3" s="1"/>
  <c r="F41" i="3" s="1"/>
  <c r="R33" i="2"/>
  <c r="E40" i="3" s="1"/>
  <c r="K33" i="2"/>
  <c r="D40" i="3" s="1"/>
  <c r="F40" i="3" s="1"/>
  <c r="R32" i="2"/>
  <c r="E39" i="3" s="1"/>
  <c r="K32" i="2"/>
  <c r="D39" i="3" s="1"/>
  <c r="F39" i="3" s="1"/>
  <c r="R31" i="2"/>
  <c r="E38" i="3" s="1"/>
  <c r="K31" i="2"/>
  <c r="D38" i="3" s="1"/>
  <c r="F38" i="3" s="1"/>
  <c r="R30" i="2"/>
  <c r="E37" i="3" s="1"/>
  <c r="K30" i="2"/>
  <c r="D37" i="3" s="1"/>
  <c r="F37" i="3" s="1"/>
  <c r="R29" i="2"/>
  <c r="K29" i="2"/>
  <c r="D36" i="3" s="1"/>
  <c r="F36" i="3" s="1"/>
  <c r="R28" i="2"/>
  <c r="E35" i="3" s="1"/>
  <c r="K28" i="2"/>
  <c r="D35" i="3" s="1"/>
  <c r="F35" i="3" s="1"/>
  <c r="R27" i="2"/>
  <c r="E34" i="3" s="1"/>
  <c r="K27" i="2"/>
  <c r="D34" i="3" s="1"/>
  <c r="F34" i="3" s="1"/>
  <c r="R26" i="2"/>
  <c r="E33" i="3" s="1"/>
  <c r="K26" i="2"/>
  <c r="D33" i="3" s="1"/>
  <c r="F33" i="3" s="1"/>
  <c r="R25" i="2"/>
  <c r="E32" i="3" s="1"/>
  <c r="K25" i="2"/>
  <c r="D32" i="3" s="1"/>
  <c r="F32" i="3" s="1"/>
  <c r="R24" i="2"/>
  <c r="E31" i="3" s="1"/>
  <c r="K24" i="2"/>
  <c r="D31" i="3" s="1"/>
  <c r="F31" i="3" s="1"/>
  <c r="R23" i="2"/>
  <c r="E30" i="3" s="1"/>
  <c r="K23" i="2"/>
  <c r="D30" i="3" s="1"/>
  <c r="F30" i="3" s="1"/>
  <c r="R22" i="2"/>
  <c r="E29" i="3" s="1"/>
  <c r="K22" i="2"/>
  <c r="D29" i="3" s="1"/>
  <c r="F29" i="3" s="1"/>
  <c r="R21" i="2"/>
  <c r="E28" i="3" s="1"/>
  <c r="K21" i="2"/>
  <c r="D28" i="3" s="1"/>
  <c r="F28" i="3" s="1"/>
  <c r="R20" i="2"/>
  <c r="E27" i="3" s="1"/>
  <c r="K20" i="2"/>
  <c r="D27" i="3" s="1"/>
  <c r="F27" i="3" s="1"/>
  <c r="R19" i="2"/>
  <c r="E26" i="3" s="1"/>
  <c r="K19" i="2"/>
  <c r="D26" i="3" s="1"/>
  <c r="F26" i="3" s="1"/>
  <c r="R18" i="2"/>
  <c r="E25" i="3" s="1"/>
  <c r="K18" i="2"/>
  <c r="D25" i="3" s="1"/>
  <c r="F25" i="3" s="1"/>
  <c r="R17" i="2"/>
  <c r="E24" i="3" s="1"/>
  <c r="K17" i="2"/>
  <c r="D24" i="3" s="1"/>
  <c r="F24" i="3" s="1"/>
  <c r="R16" i="2"/>
  <c r="E23" i="3" s="1"/>
  <c r="K16" i="2"/>
  <c r="D23" i="3" s="1"/>
  <c r="F23" i="3" s="1"/>
  <c r="R15" i="2"/>
  <c r="E22" i="3" s="1"/>
  <c r="K15" i="2"/>
  <c r="D22" i="3" s="1"/>
  <c r="F22" i="3" s="1"/>
  <c r="R14" i="2"/>
  <c r="E21" i="3" s="1"/>
  <c r="K14" i="2"/>
  <c r="D21" i="3" s="1"/>
  <c r="F21" i="3" s="1"/>
  <c r="R13" i="2"/>
  <c r="E20" i="3" s="1"/>
  <c r="K13" i="2"/>
  <c r="D20" i="3" s="1"/>
  <c r="F20" i="3" s="1"/>
  <c r="R12" i="2"/>
  <c r="E19" i="3" s="1"/>
  <c r="K12" i="2"/>
  <c r="D19" i="3" s="1"/>
  <c r="F19" i="3" s="1"/>
  <c r="R11" i="2"/>
  <c r="E18" i="3" s="1"/>
  <c r="K11" i="2"/>
  <c r="D18" i="3" s="1"/>
  <c r="F18" i="3" s="1"/>
  <c r="R10" i="2"/>
  <c r="E17" i="3" s="1"/>
  <c r="K10" i="2"/>
  <c r="D17" i="3" s="1"/>
  <c r="F17" i="3" s="1"/>
  <c r="R9" i="2"/>
  <c r="K9" i="2"/>
  <c r="D16" i="3" s="1"/>
  <c r="F16" i="3" s="1"/>
  <c r="R8" i="2"/>
  <c r="E15" i="3" s="1"/>
  <c r="K8" i="2"/>
  <c r="D15" i="3" s="1"/>
  <c r="F15" i="3" s="1"/>
  <c r="R7" i="2"/>
  <c r="E14" i="3" s="1"/>
  <c r="K7" i="2"/>
  <c r="D14" i="3" s="1"/>
  <c r="F14" i="3" s="1"/>
  <c r="G7" i="2"/>
  <c r="R6" i="2"/>
  <c r="E13" i="3" s="1"/>
  <c r="K6" i="2"/>
  <c r="D13" i="3" s="1"/>
  <c r="F13" i="3" s="1"/>
  <c r="G6" i="2"/>
  <c r="R5" i="2"/>
  <c r="E12" i="3" s="1"/>
  <c r="K5" i="2"/>
  <c r="D12" i="3" s="1"/>
  <c r="F12" i="3" s="1"/>
  <c r="G5" i="2"/>
  <c r="R4" i="2"/>
  <c r="E11" i="3" s="1"/>
  <c r="K4" i="2"/>
  <c r="D11" i="3" s="1"/>
  <c r="F11" i="3" s="1"/>
  <c r="G4" i="2"/>
  <c r="C4" i="2"/>
  <c r="R3" i="2"/>
  <c r="K3" i="2"/>
  <c r="G3" i="2"/>
  <c r="K6" i="6" l="1"/>
  <c r="D13" i="7" s="1"/>
  <c r="F13" i="7" s="1"/>
  <c r="K43" i="6"/>
  <c r="D50" i="7" s="1"/>
  <c r="F50" i="7" s="1"/>
  <c r="K11" i="6"/>
  <c r="D18" i="7" s="1"/>
  <c r="F18" i="7" s="1"/>
  <c r="K31" i="6"/>
  <c r="D38" i="7" s="1"/>
  <c r="F38" i="7" s="1"/>
  <c r="G38" i="7" s="1"/>
  <c r="H38" i="7" s="1"/>
  <c r="K38" i="7" s="1"/>
  <c r="L38" i="7" s="1"/>
  <c r="K15" i="6"/>
  <c r="D22" i="7" s="1"/>
  <c r="F22" i="7" s="1"/>
  <c r="G22" i="7" s="1"/>
  <c r="H22" i="7" s="1"/>
  <c r="K22" i="7" s="1"/>
  <c r="L22" i="7" s="1"/>
  <c r="K47" i="6"/>
  <c r="D54" i="7" s="1"/>
  <c r="K51" i="6"/>
  <c r="D58" i="7" s="1"/>
  <c r="F58" i="7" s="1"/>
  <c r="G58" i="7" s="1"/>
  <c r="K35" i="6"/>
  <c r="D42" i="7" s="1"/>
  <c r="F42" i="7" s="1"/>
  <c r="G42" i="7" s="1"/>
  <c r="H42" i="7" s="1"/>
  <c r="K42" i="7" s="1"/>
  <c r="L42" i="7" s="1"/>
  <c r="K7" i="6"/>
  <c r="D14" i="7" s="1"/>
  <c r="F14" i="7" s="1"/>
  <c r="K23" i="6"/>
  <c r="D30" i="7" s="1"/>
  <c r="F30" i="7" s="1"/>
  <c r="G30" i="7" s="1"/>
  <c r="H30" i="7" s="1"/>
  <c r="K30" i="7" s="1"/>
  <c r="L30" i="7" s="1"/>
  <c r="K39" i="6"/>
  <c r="D46" i="7" s="1"/>
  <c r="F46" i="7" s="1"/>
  <c r="G46" i="7" s="1"/>
  <c r="H46" i="7" s="1"/>
  <c r="K46" i="7" s="1"/>
  <c r="L46" i="7" s="1"/>
  <c r="K55" i="6"/>
  <c r="D62" i="7" s="1"/>
  <c r="F5" i="13"/>
  <c r="G3" i="13" s="1"/>
  <c r="F17" i="13"/>
  <c r="G17" i="13" s="1"/>
  <c r="H17" i="13" s="1"/>
  <c r="K17" i="13" s="1"/>
  <c r="L17" i="13" s="1"/>
  <c r="F21" i="13"/>
  <c r="G21" i="13" s="1"/>
  <c r="H21" i="13" s="1"/>
  <c r="K21" i="13" s="1"/>
  <c r="L21" i="13" s="1"/>
  <c r="F25" i="13"/>
  <c r="G25" i="13" s="1"/>
  <c r="H25" i="13" s="1"/>
  <c r="K25" i="13" s="1"/>
  <c r="L25" i="13" s="1"/>
  <c r="F29" i="13"/>
  <c r="G29" i="13" s="1"/>
  <c r="H29" i="13" s="1"/>
  <c r="K29" i="13" s="1"/>
  <c r="L29" i="13" s="1"/>
  <c r="F33" i="13"/>
  <c r="G33" i="13" s="1"/>
  <c r="H33" i="13" s="1"/>
  <c r="K33" i="13" s="1"/>
  <c r="L33" i="13" s="1"/>
  <c r="F37" i="13"/>
  <c r="G37" i="13" s="1"/>
  <c r="H37" i="13" s="1"/>
  <c r="K37" i="13" s="1"/>
  <c r="L37" i="13" s="1"/>
  <c r="F41" i="13"/>
  <c r="G41" i="13" s="1"/>
  <c r="H41" i="13" s="1"/>
  <c r="K41" i="13" s="1"/>
  <c r="L41" i="13" s="1"/>
  <c r="F45" i="13"/>
  <c r="G45" i="13" s="1"/>
  <c r="H45" i="13" s="1"/>
  <c r="K45" i="13" s="1"/>
  <c r="L45" i="13" s="1"/>
  <c r="F49" i="13"/>
  <c r="G49" i="13" s="1"/>
  <c r="H49" i="13" s="1"/>
  <c r="K49" i="13" s="1"/>
  <c r="L49" i="13" s="1"/>
  <c r="F53" i="13"/>
  <c r="G53" i="13" s="1"/>
  <c r="H53" i="13" s="1"/>
  <c r="K53" i="13" s="1"/>
  <c r="L53" i="13" s="1"/>
  <c r="F57" i="13"/>
  <c r="G57" i="13" s="1"/>
  <c r="H57" i="13" s="1"/>
  <c r="K57" i="13" s="1"/>
  <c r="L57" i="13" s="1"/>
  <c r="F61" i="13"/>
  <c r="G61" i="13" s="1"/>
  <c r="H61" i="13" s="1"/>
  <c r="K61" i="13" s="1"/>
  <c r="L61" i="13" s="1"/>
  <c r="F11" i="13"/>
  <c r="F18" i="13"/>
  <c r="G18" i="13" s="1"/>
  <c r="H18" i="13" s="1"/>
  <c r="K18" i="13" s="1"/>
  <c r="L18" i="13" s="1"/>
  <c r="F22" i="13"/>
  <c r="G22" i="13" s="1"/>
  <c r="H22" i="13" s="1"/>
  <c r="K22" i="13" s="1"/>
  <c r="L22" i="13" s="1"/>
  <c r="F26" i="13"/>
  <c r="G26" i="13" s="1"/>
  <c r="H26" i="13" s="1"/>
  <c r="K26" i="13" s="1"/>
  <c r="L26" i="13" s="1"/>
  <c r="F30" i="13"/>
  <c r="G30" i="13" s="1"/>
  <c r="H30" i="13" s="1"/>
  <c r="K30" i="13" s="1"/>
  <c r="L30" i="13" s="1"/>
  <c r="F34" i="13"/>
  <c r="G34" i="13" s="1"/>
  <c r="H34" i="13" s="1"/>
  <c r="K34" i="13" s="1"/>
  <c r="L34" i="13" s="1"/>
  <c r="F38" i="13"/>
  <c r="G38" i="13" s="1"/>
  <c r="H38" i="13" s="1"/>
  <c r="K38" i="13" s="1"/>
  <c r="L38" i="13" s="1"/>
  <c r="F42" i="13"/>
  <c r="G42" i="13" s="1"/>
  <c r="H42" i="13" s="1"/>
  <c r="K42" i="13" s="1"/>
  <c r="L42" i="13" s="1"/>
  <c r="F46" i="13"/>
  <c r="G46" i="13" s="1"/>
  <c r="H46" i="13" s="1"/>
  <c r="K46" i="13" s="1"/>
  <c r="L46" i="13" s="1"/>
  <c r="F50" i="13"/>
  <c r="G50" i="13" s="1"/>
  <c r="H50" i="13" s="1"/>
  <c r="K50" i="13" s="1"/>
  <c r="L50" i="13" s="1"/>
  <c r="F54" i="13"/>
  <c r="G54" i="13" s="1"/>
  <c r="H54" i="13" s="1"/>
  <c r="K54" i="13" s="1"/>
  <c r="L54" i="13" s="1"/>
  <c r="F58" i="13"/>
  <c r="G58" i="13" s="1"/>
  <c r="H58" i="13" s="1"/>
  <c r="K58" i="13" s="1"/>
  <c r="L58" i="13" s="1"/>
  <c r="F62" i="13"/>
  <c r="G62" i="13" s="1"/>
  <c r="H62" i="13" s="1"/>
  <c r="K62" i="13" s="1"/>
  <c r="L62" i="13" s="1"/>
  <c r="F13" i="13"/>
  <c r="F19" i="13"/>
  <c r="G19" i="13" s="1"/>
  <c r="H19" i="13" s="1"/>
  <c r="K19" i="13" s="1"/>
  <c r="L19" i="13" s="1"/>
  <c r="F27" i="13"/>
  <c r="G27" i="13" s="1"/>
  <c r="H27" i="13" s="1"/>
  <c r="K27" i="13" s="1"/>
  <c r="L27" i="13" s="1"/>
  <c r="F39" i="13"/>
  <c r="G39" i="13" s="1"/>
  <c r="H39" i="13" s="1"/>
  <c r="K39" i="13" s="1"/>
  <c r="L39" i="13" s="1"/>
  <c r="F47" i="13"/>
  <c r="G47" i="13" s="1"/>
  <c r="H47" i="13" s="1"/>
  <c r="K47" i="13" s="1"/>
  <c r="L47" i="13" s="1"/>
  <c r="F51" i="13"/>
  <c r="G51" i="13" s="1"/>
  <c r="H51" i="13" s="1"/>
  <c r="K51" i="13" s="1"/>
  <c r="L51" i="13" s="1"/>
  <c r="F59" i="13"/>
  <c r="G59" i="13" s="1"/>
  <c r="H59" i="13" s="1"/>
  <c r="K59" i="13" s="1"/>
  <c r="L59" i="13" s="1"/>
  <c r="F63" i="13"/>
  <c r="G63" i="13" s="1"/>
  <c r="H63" i="13" s="1"/>
  <c r="K63" i="13" s="1"/>
  <c r="L63" i="13" s="1"/>
  <c r="F12" i="13"/>
  <c r="F15" i="13"/>
  <c r="G15" i="13" s="1"/>
  <c r="H15" i="13" s="1"/>
  <c r="K15" i="13" s="1"/>
  <c r="F23" i="13"/>
  <c r="G23" i="13" s="1"/>
  <c r="H23" i="13" s="1"/>
  <c r="K23" i="13" s="1"/>
  <c r="L23" i="13" s="1"/>
  <c r="F31" i="13"/>
  <c r="G31" i="13" s="1"/>
  <c r="H31" i="13" s="1"/>
  <c r="K31" i="13" s="1"/>
  <c r="L31" i="13" s="1"/>
  <c r="F35" i="13"/>
  <c r="G35" i="13" s="1"/>
  <c r="H35" i="13" s="1"/>
  <c r="K35" i="13" s="1"/>
  <c r="L35" i="13" s="1"/>
  <c r="F43" i="13"/>
  <c r="G43" i="13" s="1"/>
  <c r="H43" i="13" s="1"/>
  <c r="K43" i="13" s="1"/>
  <c r="L43" i="13" s="1"/>
  <c r="F55" i="13"/>
  <c r="G55" i="13" s="1"/>
  <c r="H55" i="13" s="1"/>
  <c r="K55" i="13" s="1"/>
  <c r="L55" i="13" s="1"/>
  <c r="F16" i="13"/>
  <c r="G16" i="13" s="1"/>
  <c r="H16" i="13" s="1"/>
  <c r="K16" i="13" s="1"/>
  <c r="L16" i="13" s="1"/>
  <c r="F20" i="13"/>
  <c r="G20" i="13" s="1"/>
  <c r="H20" i="13" s="1"/>
  <c r="K20" i="13" s="1"/>
  <c r="L20" i="13" s="1"/>
  <c r="F24" i="13"/>
  <c r="G24" i="13" s="1"/>
  <c r="H24" i="13" s="1"/>
  <c r="K24" i="13" s="1"/>
  <c r="L24" i="13" s="1"/>
  <c r="F28" i="13"/>
  <c r="G28" i="13" s="1"/>
  <c r="H28" i="13" s="1"/>
  <c r="K28" i="13" s="1"/>
  <c r="L28" i="13" s="1"/>
  <c r="F32" i="13"/>
  <c r="G32" i="13" s="1"/>
  <c r="H32" i="13" s="1"/>
  <c r="K32" i="13" s="1"/>
  <c r="L32" i="13" s="1"/>
  <c r="F36" i="13"/>
  <c r="G36" i="13" s="1"/>
  <c r="H36" i="13" s="1"/>
  <c r="K36" i="13" s="1"/>
  <c r="L36" i="13" s="1"/>
  <c r="F40" i="13"/>
  <c r="G40" i="13" s="1"/>
  <c r="H40" i="13" s="1"/>
  <c r="K40" i="13" s="1"/>
  <c r="L40" i="13" s="1"/>
  <c r="F44" i="13"/>
  <c r="G44" i="13" s="1"/>
  <c r="H44" i="13" s="1"/>
  <c r="K44" i="13" s="1"/>
  <c r="L44" i="13" s="1"/>
  <c r="F48" i="13"/>
  <c r="G48" i="13" s="1"/>
  <c r="H48" i="13" s="1"/>
  <c r="K48" i="13" s="1"/>
  <c r="L48" i="13" s="1"/>
  <c r="F52" i="13"/>
  <c r="G52" i="13" s="1"/>
  <c r="H52" i="13" s="1"/>
  <c r="K52" i="13" s="1"/>
  <c r="L52" i="13" s="1"/>
  <c r="F56" i="13"/>
  <c r="G56" i="13" s="1"/>
  <c r="H56" i="13" s="1"/>
  <c r="K56" i="13" s="1"/>
  <c r="L56" i="13" s="1"/>
  <c r="F60" i="13"/>
  <c r="G60" i="13" s="1"/>
  <c r="H60" i="13" s="1"/>
  <c r="K60" i="13" s="1"/>
  <c r="L60" i="13" s="1"/>
  <c r="F64" i="13"/>
  <c r="G64" i="13" s="1"/>
  <c r="H64" i="13" s="1"/>
  <c r="K64" i="13" s="1"/>
  <c r="L64" i="13" s="1"/>
  <c r="D14" i="13"/>
  <c r="K10" i="6"/>
  <c r="D17" i="7" s="1"/>
  <c r="F17" i="7" s="1"/>
  <c r="K14" i="6"/>
  <c r="D21" i="7" s="1"/>
  <c r="F21" i="7" s="1"/>
  <c r="G21" i="7" s="1"/>
  <c r="H21" i="7" s="1"/>
  <c r="K21" i="7" s="1"/>
  <c r="L21" i="7" s="1"/>
  <c r="K18" i="6"/>
  <c r="D25" i="7" s="1"/>
  <c r="F25" i="7" s="1"/>
  <c r="K22" i="6"/>
  <c r="D29" i="7" s="1"/>
  <c r="F29" i="7" s="1"/>
  <c r="G29" i="7" s="1"/>
  <c r="H29" i="7" s="1"/>
  <c r="K29" i="7" s="1"/>
  <c r="L29" i="7" s="1"/>
  <c r="K26" i="6"/>
  <c r="D33" i="7" s="1"/>
  <c r="F33" i="7" s="1"/>
  <c r="G33" i="7" s="1"/>
  <c r="H33" i="7" s="1"/>
  <c r="K33" i="7" s="1"/>
  <c r="L33" i="7" s="1"/>
  <c r="K30" i="6"/>
  <c r="D37" i="7" s="1"/>
  <c r="F37" i="7" s="1"/>
  <c r="G37" i="7" s="1"/>
  <c r="H37" i="7" s="1"/>
  <c r="K37" i="7" s="1"/>
  <c r="L37" i="7" s="1"/>
  <c r="K34" i="6"/>
  <c r="D41" i="7" s="1"/>
  <c r="F41" i="7" s="1"/>
  <c r="G41" i="7" s="1"/>
  <c r="H41" i="7" s="1"/>
  <c r="K41" i="7" s="1"/>
  <c r="L41" i="7" s="1"/>
  <c r="K38" i="6"/>
  <c r="D45" i="7" s="1"/>
  <c r="F45" i="7" s="1"/>
  <c r="G45" i="7" s="1"/>
  <c r="H45" i="7" s="1"/>
  <c r="K45" i="7" s="1"/>
  <c r="L45" i="7" s="1"/>
  <c r="K42" i="6"/>
  <c r="D49" i="7" s="1"/>
  <c r="F49" i="7" s="1"/>
  <c r="G49" i="7" s="1"/>
  <c r="H49" i="7" s="1"/>
  <c r="K49" i="7" s="1"/>
  <c r="L49" i="7" s="1"/>
  <c r="K46" i="6"/>
  <c r="D53" i="7" s="1"/>
  <c r="F53" i="7" s="1"/>
  <c r="K50" i="6"/>
  <c r="D57" i="7" s="1"/>
  <c r="F57" i="7" s="1"/>
  <c r="G57" i="7" s="1"/>
  <c r="H57" i="7" s="1"/>
  <c r="K57" i="7" s="1"/>
  <c r="L57" i="7" s="1"/>
  <c r="K54" i="6"/>
  <c r="D61" i="7" s="1"/>
  <c r="F61" i="7" s="1"/>
  <c r="G61" i="7" s="1"/>
  <c r="H61" i="7" s="1"/>
  <c r="K61" i="7" s="1"/>
  <c r="L61" i="7" s="1"/>
  <c r="K4" i="6"/>
  <c r="D11" i="7" s="1"/>
  <c r="F11" i="7" s="1"/>
  <c r="K5" i="6"/>
  <c r="D12" i="7" s="1"/>
  <c r="F12" i="7" s="1"/>
  <c r="K8" i="6"/>
  <c r="D15" i="7" s="1"/>
  <c r="F15" i="7" s="1"/>
  <c r="K12" i="6"/>
  <c r="D19" i="7" s="1"/>
  <c r="F19" i="7" s="1"/>
  <c r="G19" i="7" s="1"/>
  <c r="H19" i="7" s="1"/>
  <c r="K19" i="7" s="1"/>
  <c r="L19" i="7" s="1"/>
  <c r="K16" i="6"/>
  <c r="D23" i="7" s="1"/>
  <c r="F23" i="7" s="1"/>
  <c r="G23" i="7" s="1"/>
  <c r="H23" i="7" s="1"/>
  <c r="K23" i="7" s="1"/>
  <c r="L23" i="7" s="1"/>
  <c r="K20" i="6"/>
  <c r="D27" i="7" s="1"/>
  <c r="F27" i="7" s="1"/>
  <c r="G27" i="7" s="1"/>
  <c r="H27" i="7" s="1"/>
  <c r="K27" i="7" s="1"/>
  <c r="L27" i="7" s="1"/>
  <c r="K24" i="6"/>
  <c r="D31" i="7" s="1"/>
  <c r="F31" i="7" s="1"/>
  <c r="G31" i="7" s="1"/>
  <c r="H31" i="7" s="1"/>
  <c r="K31" i="7" s="1"/>
  <c r="L31" i="7" s="1"/>
  <c r="K28" i="6"/>
  <c r="D35" i="7" s="1"/>
  <c r="F35" i="7" s="1"/>
  <c r="G35" i="7" s="1"/>
  <c r="H35" i="7" s="1"/>
  <c r="K35" i="7" s="1"/>
  <c r="L35" i="7" s="1"/>
  <c r="K32" i="6"/>
  <c r="D39" i="7" s="1"/>
  <c r="F39" i="7" s="1"/>
  <c r="G39" i="7" s="1"/>
  <c r="H39" i="7" s="1"/>
  <c r="K39" i="7" s="1"/>
  <c r="L39" i="7" s="1"/>
  <c r="K36" i="6"/>
  <c r="D43" i="7" s="1"/>
  <c r="F43" i="7" s="1"/>
  <c r="G43" i="7" s="1"/>
  <c r="H43" i="7" s="1"/>
  <c r="K43" i="7" s="1"/>
  <c r="L43" i="7" s="1"/>
  <c r="K40" i="6"/>
  <c r="D47" i="7" s="1"/>
  <c r="F47" i="7" s="1"/>
  <c r="G47" i="7" s="1"/>
  <c r="H47" i="7" s="1"/>
  <c r="K47" i="7" s="1"/>
  <c r="L47" i="7" s="1"/>
  <c r="K44" i="6"/>
  <c r="D51" i="7" s="1"/>
  <c r="F51" i="7" s="1"/>
  <c r="G51" i="7" s="1"/>
  <c r="H51" i="7" s="1"/>
  <c r="K51" i="7" s="1"/>
  <c r="L51" i="7" s="1"/>
  <c r="K48" i="6"/>
  <c r="D55" i="7" s="1"/>
  <c r="F55" i="7" s="1"/>
  <c r="G55" i="7" s="1"/>
  <c r="H55" i="7" s="1"/>
  <c r="K55" i="7" s="1"/>
  <c r="L55" i="7" s="1"/>
  <c r="K52" i="6"/>
  <c r="D59" i="7" s="1"/>
  <c r="F59" i="7" s="1"/>
  <c r="G59" i="7" s="1"/>
  <c r="H59" i="7" s="1"/>
  <c r="K59" i="7" s="1"/>
  <c r="L59" i="7" s="1"/>
  <c r="K56" i="6"/>
  <c r="D63" i="7" s="1"/>
  <c r="F63" i="7" s="1"/>
  <c r="G63" i="7" s="1"/>
  <c r="H63" i="7" s="1"/>
  <c r="K63" i="7" s="1"/>
  <c r="L63" i="7" s="1"/>
  <c r="K3" i="6"/>
  <c r="K9" i="6"/>
  <c r="D16" i="7" s="1"/>
  <c r="F16" i="7" s="1"/>
  <c r="G16" i="7" s="1"/>
  <c r="H16" i="7" s="1"/>
  <c r="K16" i="7" s="1"/>
  <c r="L16" i="7" s="1"/>
  <c r="K13" i="6"/>
  <c r="D20" i="7" s="1"/>
  <c r="F20" i="7" s="1"/>
  <c r="G20" i="7" s="1"/>
  <c r="H20" i="7" s="1"/>
  <c r="K20" i="7" s="1"/>
  <c r="L20" i="7" s="1"/>
  <c r="K17" i="6"/>
  <c r="D24" i="7" s="1"/>
  <c r="F24" i="7" s="1"/>
  <c r="G24" i="7" s="1"/>
  <c r="H24" i="7" s="1"/>
  <c r="K24" i="7" s="1"/>
  <c r="L24" i="7" s="1"/>
  <c r="K21" i="6"/>
  <c r="D28" i="7" s="1"/>
  <c r="F28" i="7" s="1"/>
  <c r="G28" i="7" s="1"/>
  <c r="H28" i="7" s="1"/>
  <c r="K28" i="7" s="1"/>
  <c r="L28" i="7" s="1"/>
  <c r="K25" i="6"/>
  <c r="D32" i="7" s="1"/>
  <c r="F32" i="7" s="1"/>
  <c r="G32" i="7" s="1"/>
  <c r="H32" i="7" s="1"/>
  <c r="K32" i="7" s="1"/>
  <c r="L32" i="7" s="1"/>
  <c r="K29" i="6"/>
  <c r="D36" i="7" s="1"/>
  <c r="F36" i="7" s="1"/>
  <c r="G36" i="7" s="1"/>
  <c r="H36" i="7" s="1"/>
  <c r="K36" i="7" s="1"/>
  <c r="L36" i="7" s="1"/>
  <c r="K33" i="6"/>
  <c r="D40" i="7" s="1"/>
  <c r="F40" i="7" s="1"/>
  <c r="G40" i="7" s="1"/>
  <c r="H40" i="7" s="1"/>
  <c r="K40" i="7" s="1"/>
  <c r="L40" i="7" s="1"/>
  <c r="K37" i="6"/>
  <c r="D44" i="7" s="1"/>
  <c r="F44" i="7" s="1"/>
  <c r="G44" i="7" s="1"/>
  <c r="H44" i="7" s="1"/>
  <c r="K44" i="7" s="1"/>
  <c r="L44" i="7" s="1"/>
  <c r="K41" i="6"/>
  <c r="D48" i="7" s="1"/>
  <c r="F48" i="7" s="1"/>
  <c r="G48" i="7" s="1"/>
  <c r="H48" i="7" s="1"/>
  <c r="K48" i="7" s="1"/>
  <c r="L48" i="7" s="1"/>
  <c r="K45" i="6"/>
  <c r="D52" i="7" s="1"/>
  <c r="F52" i="7" s="1"/>
  <c r="G52" i="7" s="1"/>
  <c r="H52" i="7" s="1"/>
  <c r="K52" i="7" s="1"/>
  <c r="L52" i="7" s="1"/>
  <c r="K49" i="6"/>
  <c r="D56" i="7" s="1"/>
  <c r="F56" i="7" s="1"/>
  <c r="G56" i="7" s="1"/>
  <c r="K53" i="6"/>
  <c r="D60" i="7" s="1"/>
  <c r="F60" i="7" s="1"/>
  <c r="G60" i="7" s="1"/>
  <c r="C4" i="4"/>
  <c r="F5" i="3"/>
  <c r="G3" i="3" s="1"/>
  <c r="F58" i="5"/>
  <c r="G58" i="5" s="1"/>
  <c r="H58" i="5" s="1"/>
  <c r="K58" i="5" s="1"/>
  <c r="L58" i="5" s="1"/>
  <c r="G5" i="4"/>
  <c r="F62" i="7"/>
  <c r="G62" i="7" s="1"/>
  <c r="H62" i="7" s="1"/>
  <c r="K62" i="7" s="1"/>
  <c r="L62" i="7" s="1"/>
  <c r="F54" i="7"/>
  <c r="G54" i="7" s="1"/>
  <c r="H54" i="7" s="1"/>
  <c r="K54" i="7" s="1"/>
  <c r="L54" i="7" s="1"/>
  <c r="K4" i="4"/>
  <c r="D11" i="5" s="1"/>
  <c r="F11" i="5" s="1"/>
  <c r="K10" i="4"/>
  <c r="D17" i="5" s="1"/>
  <c r="F17" i="5" s="1"/>
  <c r="G17" i="5" s="1"/>
  <c r="H17" i="5" s="1"/>
  <c r="K17" i="5" s="1"/>
  <c r="L17" i="5" s="1"/>
  <c r="K15" i="4"/>
  <c r="D22" i="5" s="1"/>
  <c r="F22" i="5" s="1"/>
  <c r="K21" i="4"/>
  <c r="D28" i="5" s="1"/>
  <c r="F28" i="5" s="1"/>
  <c r="G28" i="5" s="1"/>
  <c r="H28" i="5" s="1"/>
  <c r="K28" i="5" s="1"/>
  <c r="L28" i="5" s="1"/>
  <c r="K30" i="4"/>
  <c r="D37" i="5" s="1"/>
  <c r="F37" i="5" s="1"/>
  <c r="G37" i="5" s="1"/>
  <c r="H37" i="5" s="1"/>
  <c r="K37" i="5" s="1"/>
  <c r="L37" i="5" s="1"/>
  <c r="K42" i="4"/>
  <c r="D49" i="5" s="1"/>
  <c r="F49" i="5" s="1"/>
  <c r="G49" i="5" s="1"/>
  <c r="H49" i="5" s="1"/>
  <c r="K49" i="5" s="1"/>
  <c r="L49" i="5" s="1"/>
  <c r="K49" i="4"/>
  <c r="D56" i="5" s="1"/>
  <c r="F56" i="5" s="1"/>
  <c r="G56" i="5" s="1"/>
  <c r="H56" i="5" s="1"/>
  <c r="K56" i="5" s="1"/>
  <c r="L56" i="5" s="1"/>
  <c r="K56" i="4"/>
  <c r="D63" i="5" s="1"/>
  <c r="F63" i="5" s="1"/>
  <c r="G63" i="5" s="1"/>
  <c r="H63" i="5" s="1"/>
  <c r="K63" i="5" s="1"/>
  <c r="L63" i="5" s="1"/>
  <c r="K3" i="4"/>
  <c r="K6" i="4"/>
  <c r="D13" i="5" s="1"/>
  <c r="F13" i="5" s="1"/>
  <c r="K8" i="4"/>
  <c r="D15" i="5" s="1"/>
  <c r="F15" i="5" s="1"/>
  <c r="G15" i="5" s="1"/>
  <c r="H15" i="5" s="1"/>
  <c r="K15" i="5" s="1"/>
  <c r="K13" i="4"/>
  <c r="D20" i="5" s="1"/>
  <c r="F20" i="5" s="1"/>
  <c r="G20" i="5" s="1"/>
  <c r="H20" i="5" s="1"/>
  <c r="K20" i="5" s="1"/>
  <c r="L20" i="5" s="1"/>
  <c r="K16" i="4"/>
  <c r="D23" i="5" s="1"/>
  <c r="F23" i="5" s="1"/>
  <c r="G23" i="5" s="1"/>
  <c r="H23" i="5" s="1"/>
  <c r="K23" i="5" s="1"/>
  <c r="L23" i="5" s="1"/>
  <c r="K22" i="4"/>
  <c r="D29" i="5" s="1"/>
  <c r="F29" i="5" s="1"/>
  <c r="G29" i="5" s="1"/>
  <c r="H29" i="5" s="1"/>
  <c r="K29" i="5" s="1"/>
  <c r="L29" i="5" s="1"/>
  <c r="K27" i="4"/>
  <c r="D34" i="5" s="1"/>
  <c r="F34" i="5" s="1"/>
  <c r="G34" i="5" s="1"/>
  <c r="H34" i="5" s="1"/>
  <c r="K34" i="5" s="1"/>
  <c r="L34" i="5" s="1"/>
  <c r="K33" i="4"/>
  <c r="D40" i="5" s="1"/>
  <c r="F40" i="5" s="1"/>
  <c r="G40" i="5" s="1"/>
  <c r="H40" i="5" s="1"/>
  <c r="K40" i="5" s="1"/>
  <c r="L40" i="5" s="1"/>
  <c r="K36" i="4"/>
  <c r="D43" i="5" s="1"/>
  <c r="F43" i="5" s="1"/>
  <c r="G43" i="5" s="1"/>
  <c r="H43" i="5" s="1"/>
  <c r="K43" i="5" s="1"/>
  <c r="L43" i="5" s="1"/>
  <c r="K39" i="4"/>
  <c r="D46" i="5" s="1"/>
  <c r="F46" i="5" s="1"/>
  <c r="G46" i="5" s="1"/>
  <c r="H46" i="5" s="1"/>
  <c r="K46" i="5" s="1"/>
  <c r="L46" i="5" s="1"/>
  <c r="K45" i="4"/>
  <c r="D52" i="5" s="1"/>
  <c r="F52" i="5" s="1"/>
  <c r="G52" i="5" s="1"/>
  <c r="H52" i="5" s="1"/>
  <c r="K52" i="5" s="1"/>
  <c r="L52" i="5" s="1"/>
  <c r="K47" i="4"/>
  <c r="D54" i="5" s="1"/>
  <c r="F54" i="5" s="1"/>
  <c r="G54" i="5" s="1"/>
  <c r="H54" i="5" s="1"/>
  <c r="K54" i="5" s="1"/>
  <c r="L54" i="5" s="1"/>
  <c r="K50" i="4"/>
  <c r="D57" i="5" s="1"/>
  <c r="F57" i="5" s="1"/>
  <c r="G57" i="5" s="1"/>
  <c r="H57" i="5" s="1"/>
  <c r="K57" i="5" s="1"/>
  <c r="L57" i="5" s="1"/>
  <c r="K52" i="4"/>
  <c r="D59" i="5" s="1"/>
  <c r="F59" i="5" s="1"/>
  <c r="G59" i="5" s="1"/>
  <c r="H59" i="5" s="1"/>
  <c r="K59" i="5" s="1"/>
  <c r="L59" i="5" s="1"/>
  <c r="K57" i="4"/>
  <c r="D64" i="5" s="1"/>
  <c r="F64" i="5" s="1"/>
  <c r="G64" i="5" s="1"/>
  <c r="H64" i="5" s="1"/>
  <c r="K64" i="5" s="1"/>
  <c r="L64" i="5" s="1"/>
  <c r="K11" i="4"/>
  <c r="D18" i="5" s="1"/>
  <c r="F18" i="5" s="1"/>
  <c r="K14" i="4"/>
  <c r="D21" i="5" s="1"/>
  <c r="F21" i="5" s="1"/>
  <c r="G21" i="5" s="1"/>
  <c r="H21" i="5" s="1"/>
  <c r="K21" i="5" s="1"/>
  <c r="L21" i="5" s="1"/>
  <c r="K19" i="4"/>
  <c r="D26" i="5" s="1"/>
  <c r="F26" i="5" s="1"/>
  <c r="G26" i="5" s="1"/>
  <c r="H26" i="5" s="1"/>
  <c r="K26" i="5" s="1"/>
  <c r="L26" i="5" s="1"/>
  <c r="K25" i="4"/>
  <c r="D32" i="5" s="1"/>
  <c r="F32" i="5" s="1"/>
  <c r="G32" i="5" s="1"/>
  <c r="H32" i="5" s="1"/>
  <c r="K32" i="5" s="1"/>
  <c r="L32" i="5" s="1"/>
  <c r="K28" i="4"/>
  <c r="D35" i="5" s="1"/>
  <c r="K31" i="4"/>
  <c r="D38" i="5" s="1"/>
  <c r="F38" i="5" s="1"/>
  <c r="G38" i="5" s="1"/>
  <c r="H38" i="5" s="1"/>
  <c r="K38" i="5" s="1"/>
  <c r="L38" i="5" s="1"/>
  <c r="K34" i="4"/>
  <c r="D41" i="5" s="1"/>
  <c r="F41" i="5" s="1"/>
  <c r="G41" i="5" s="1"/>
  <c r="H41" i="5" s="1"/>
  <c r="K41" i="5" s="1"/>
  <c r="L41" i="5" s="1"/>
  <c r="K37" i="4"/>
  <c r="D44" i="5" s="1"/>
  <c r="F44" i="5" s="1"/>
  <c r="G44" i="5" s="1"/>
  <c r="H44" i="5" s="1"/>
  <c r="K44" i="5" s="1"/>
  <c r="L44" i="5" s="1"/>
  <c r="K40" i="4"/>
  <c r="D47" i="5" s="1"/>
  <c r="F47" i="5" s="1"/>
  <c r="G47" i="5" s="1"/>
  <c r="H47" i="5" s="1"/>
  <c r="K47" i="5" s="1"/>
  <c r="L47" i="5" s="1"/>
  <c r="K43" i="4"/>
  <c r="D50" i="5" s="1"/>
  <c r="F50" i="5" s="1"/>
  <c r="G50" i="5" s="1"/>
  <c r="H50" i="5" s="1"/>
  <c r="K50" i="5" s="1"/>
  <c r="L50" i="5" s="1"/>
  <c r="K53" i="4"/>
  <c r="D60" i="5" s="1"/>
  <c r="F60" i="5" s="1"/>
  <c r="G60" i="5" s="1"/>
  <c r="H60" i="5" s="1"/>
  <c r="K60" i="5" s="1"/>
  <c r="L60" i="5" s="1"/>
  <c r="K55" i="4"/>
  <c r="D62" i="5" s="1"/>
  <c r="F62" i="5" s="1"/>
  <c r="G62" i="5" s="1"/>
  <c r="H62" i="5" s="1"/>
  <c r="K62" i="5" s="1"/>
  <c r="L62" i="5" s="1"/>
  <c r="K7" i="4"/>
  <c r="D14" i="5" s="1"/>
  <c r="F14" i="5" s="1"/>
  <c r="K18" i="4"/>
  <c r="D25" i="5" s="1"/>
  <c r="F25" i="5" s="1"/>
  <c r="G25" i="5" s="1"/>
  <c r="H25" i="5" s="1"/>
  <c r="K25" i="5" s="1"/>
  <c r="L25" i="5" s="1"/>
  <c r="K24" i="4"/>
  <c r="D31" i="5" s="1"/>
  <c r="F31" i="5" s="1"/>
  <c r="G31" i="5" s="1"/>
  <c r="H31" i="5" s="1"/>
  <c r="K31" i="5" s="1"/>
  <c r="L31" i="5" s="1"/>
  <c r="K35" i="4"/>
  <c r="D42" i="5" s="1"/>
  <c r="F42" i="5" s="1"/>
  <c r="G42" i="5" s="1"/>
  <c r="H42" i="5" s="1"/>
  <c r="K42" i="5" s="1"/>
  <c r="L42" i="5" s="1"/>
  <c r="K44" i="4"/>
  <c r="D51" i="5" s="1"/>
  <c r="F51" i="5" s="1"/>
  <c r="G51" i="5" s="1"/>
  <c r="H51" i="5" s="1"/>
  <c r="K51" i="5" s="1"/>
  <c r="L51" i="5" s="1"/>
  <c r="K54" i="4"/>
  <c r="D61" i="5" s="1"/>
  <c r="F61" i="5" s="1"/>
  <c r="G61" i="5" s="1"/>
  <c r="H61" i="5" s="1"/>
  <c r="K61" i="5" s="1"/>
  <c r="L61" i="5" s="1"/>
  <c r="K5" i="4"/>
  <c r="D12" i="5" s="1"/>
  <c r="F12" i="5" s="1"/>
  <c r="K9" i="4"/>
  <c r="D16" i="5" s="1"/>
  <c r="F16" i="5" s="1"/>
  <c r="G16" i="5" s="1"/>
  <c r="K12" i="4"/>
  <c r="D19" i="5" s="1"/>
  <c r="F19" i="5" s="1"/>
  <c r="G19" i="5" s="1"/>
  <c r="H19" i="5" s="1"/>
  <c r="K19" i="5" s="1"/>
  <c r="L19" i="5" s="1"/>
  <c r="K17" i="4"/>
  <c r="D24" i="5" s="1"/>
  <c r="F24" i="5" s="1"/>
  <c r="G24" i="5" s="1"/>
  <c r="H24" i="5" s="1"/>
  <c r="K24" i="5" s="1"/>
  <c r="L24" i="5" s="1"/>
  <c r="K20" i="4"/>
  <c r="D27" i="5" s="1"/>
  <c r="F27" i="5" s="1"/>
  <c r="G27" i="5" s="1"/>
  <c r="H27" i="5" s="1"/>
  <c r="K27" i="5" s="1"/>
  <c r="L27" i="5" s="1"/>
  <c r="K23" i="4"/>
  <c r="D30" i="5" s="1"/>
  <c r="F30" i="5" s="1"/>
  <c r="G30" i="5" s="1"/>
  <c r="H30" i="5" s="1"/>
  <c r="K30" i="5" s="1"/>
  <c r="L30" i="5" s="1"/>
  <c r="K26" i="4"/>
  <c r="D33" i="5" s="1"/>
  <c r="F33" i="5" s="1"/>
  <c r="G33" i="5" s="1"/>
  <c r="H33" i="5" s="1"/>
  <c r="K33" i="5" s="1"/>
  <c r="L33" i="5" s="1"/>
  <c r="K29" i="4"/>
  <c r="D36" i="5" s="1"/>
  <c r="F36" i="5" s="1"/>
  <c r="G36" i="5" s="1"/>
  <c r="H36" i="5" s="1"/>
  <c r="K36" i="5" s="1"/>
  <c r="L36" i="5" s="1"/>
  <c r="K32" i="4"/>
  <c r="D39" i="5" s="1"/>
  <c r="F39" i="5" s="1"/>
  <c r="G39" i="5" s="1"/>
  <c r="H39" i="5" s="1"/>
  <c r="K39" i="5" s="1"/>
  <c r="L39" i="5" s="1"/>
  <c r="K38" i="4"/>
  <c r="D45" i="5" s="1"/>
  <c r="F45" i="5" s="1"/>
  <c r="G45" i="5" s="1"/>
  <c r="H45" i="5" s="1"/>
  <c r="K45" i="5" s="1"/>
  <c r="L45" i="5" s="1"/>
  <c r="K41" i="4"/>
  <c r="D48" i="5" s="1"/>
  <c r="F48" i="5" s="1"/>
  <c r="G48" i="5" s="1"/>
  <c r="K46" i="4"/>
  <c r="D53" i="5" s="1"/>
  <c r="F53" i="5" s="1"/>
  <c r="G53" i="5" s="1"/>
  <c r="H53" i="5" s="1"/>
  <c r="K53" i="5" s="1"/>
  <c r="L53" i="5" s="1"/>
  <c r="K48" i="4"/>
  <c r="D55" i="5" s="1"/>
  <c r="F55" i="5" s="1"/>
  <c r="G55" i="5" s="1"/>
  <c r="H55" i="5" s="1"/>
  <c r="K55" i="5" s="1"/>
  <c r="L55" i="5" s="1"/>
  <c r="G58" i="3"/>
  <c r="G57" i="3"/>
  <c r="G56" i="3"/>
  <c r="G50" i="3"/>
  <c r="G43" i="3"/>
  <c r="H43" i="3" s="1"/>
  <c r="G40" i="3"/>
  <c r="G47" i="3"/>
  <c r="G28" i="3"/>
  <c r="G49" i="3"/>
  <c r="G59" i="3"/>
  <c r="G22" i="3"/>
  <c r="G63" i="3"/>
  <c r="G18" i="7"/>
  <c r="H18" i="7" s="1"/>
  <c r="K18" i="7" s="1"/>
  <c r="L18" i="7" s="1"/>
  <c r="G26" i="7"/>
  <c r="H26" i="7" s="1"/>
  <c r="K26" i="7" s="1"/>
  <c r="L26" i="7" s="1"/>
  <c r="G34" i="7"/>
  <c r="H34" i="7" s="1"/>
  <c r="K34" i="7" s="1"/>
  <c r="L34" i="7" s="1"/>
  <c r="G35" i="3"/>
  <c r="G60" i="3"/>
  <c r="G21" i="3"/>
  <c r="G37" i="3"/>
  <c r="G50" i="7"/>
  <c r="H50" i="7" s="1"/>
  <c r="K50" i="7" s="1"/>
  <c r="L50" i="7" s="1"/>
  <c r="G64" i="3"/>
  <c r="G17" i="7"/>
  <c r="H17" i="7" s="1"/>
  <c r="K17" i="7" s="1"/>
  <c r="L17" i="7" s="1"/>
  <c r="G18" i="3"/>
  <c r="G18" i="5"/>
  <c r="H18" i="5" s="1"/>
  <c r="K18" i="5" s="1"/>
  <c r="L18" i="5" s="1"/>
  <c r="G22" i="5"/>
  <c r="H22" i="5" s="1"/>
  <c r="K22" i="5" s="1"/>
  <c r="L22" i="5" s="1"/>
  <c r="G61" i="3"/>
  <c r="G55" i="3"/>
  <c r="H55" i="3" s="1"/>
  <c r="G62" i="3"/>
  <c r="G15" i="7"/>
  <c r="H15" i="7" s="1"/>
  <c r="K15" i="7" s="1"/>
  <c r="G25" i="7"/>
  <c r="H25" i="7" s="1"/>
  <c r="K25" i="7" s="1"/>
  <c r="L25" i="7" s="1"/>
  <c r="G53" i="7"/>
  <c r="H53" i="7" s="1"/>
  <c r="K53" i="7" s="1"/>
  <c r="L53" i="7" s="1"/>
  <c r="H58" i="7"/>
  <c r="K58" i="7" s="1"/>
  <c r="L58" i="7" s="1"/>
  <c r="G64" i="7"/>
  <c r="H64" i="7" s="1"/>
  <c r="K64" i="7" s="1"/>
  <c r="L64" i="7" s="1"/>
  <c r="H58" i="3" l="1"/>
  <c r="K58" i="3" s="1"/>
  <c r="L58" i="3" s="1"/>
  <c r="H64" i="3"/>
  <c r="K64" i="3" s="1"/>
  <c r="L64" i="3" s="1"/>
  <c r="H22" i="3"/>
  <c r="K22" i="3" s="1"/>
  <c r="G17" i="3"/>
  <c r="H18" i="3"/>
  <c r="H63" i="3"/>
  <c r="K63" i="3" s="1"/>
  <c r="L63" i="3" s="1"/>
  <c r="H59" i="3"/>
  <c r="K59" i="3" s="1"/>
  <c r="L59" i="3" s="1"/>
  <c r="H49" i="3"/>
  <c r="K49" i="3" s="1"/>
  <c r="H37" i="3"/>
  <c r="K37" i="3" s="1"/>
  <c r="H28" i="3"/>
  <c r="K28" i="3" s="1"/>
  <c r="H21" i="3"/>
  <c r="K21" i="3" s="1"/>
  <c r="G46" i="3"/>
  <c r="H46" i="3" s="1"/>
  <c r="K46" i="3" s="1"/>
  <c r="H47" i="3"/>
  <c r="K47" i="3" s="1"/>
  <c r="H50" i="3"/>
  <c r="K50" i="3" s="1"/>
  <c r="H56" i="3"/>
  <c r="K56" i="3" s="1"/>
  <c r="H40" i="3"/>
  <c r="K40" i="3" s="1"/>
  <c r="H61" i="3"/>
  <c r="K61" i="3" s="1"/>
  <c r="L61" i="3" s="1"/>
  <c r="H60" i="3"/>
  <c r="K60" i="3" s="1"/>
  <c r="L60" i="3" s="1"/>
  <c r="H62" i="3"/>
  <c r="K62" i="3" s="1"/>
  <c r="L62" i="3" s="1"/>
  <c r="H35" i="3"/>
  <c r="K35" i="3" s="1"/>
  <c r="H57" i="3"/>
  <c r="K57" i="3" s="1"/>
  <c r="L57" i="3" s="1"/>
  <c r="F14" i="13"/>
  <c r="G14" i="13" s="1"/>
  <c r="H14" i="13" s="1"/>
  <c r="K14" i="13" s="1"/>
  <c r="G14" i="7"/>
  <c r="H56" i="7"/>
  <c r="K56" i="7" s="1"/>
  <c r="L56" i="7" s="1"/>
  <c r="H48" i="5"/>
  <c r="K48" i="5" s="1"/>
  <c r="L48" i="5" s="1"/>
  <c r="H60" i="7"/>
  <c r="K60" i="7" s="1"/>
  <c r="L60" i="7" s="1"/>
  <c r="H16" i="5"/>
  <c r="K16" i="5" s="1"/>
  <c r="F5" i="7"/>
  <c r="G3" i="7" s="1"/>
  <c r="G14" i="5"/>
  <c r="F5" i="5"/>
  <c r="G3" i="5" s="1"/>
  <c r="F35" i="5"/>
  <c r="G35" i="5" s="1"/>
  <c r="H35" i="5" s="1"/>
  <c r="K35" i="5" s="1"/>
  <c r="L35" i="5" s="1"/>
  <c r="G54" i="3"/>
  <c r="G48" i="3"/>
  <c r="G27" i="3"/>
  <c r="K55" i="3"/>
  <c r="G53" i="3"/>
  <c r="G38" i="3"/>
  <c r="G39" i="3"/>
  <c r="K18" i="3"/>
  <c r="G16" i="3"/>
  <c r="K43" i="3"/>
  <c r="G20" i="3"/>
  <c r="G34" i="3"/>
  <c r="H34" i="3" s="1"/>
  <c r="H39" i="3" l="1"/>
  <c r="K39" i="3" s="1"/>
  <c r="H38" i="3"/>
  <c r="K38" i="3" s="1"/>
  <c r="H27" i="3"/>
  <c r="K27" i="3" s="1"/>
  <c r="H16" i="3"/>
  <c r="K16" i="3" s="1"/>
  <c r="H48" i="3"/>
  <c r="K48" i="3" s="1"/>
  <c r="H20" i="3"/>
  <c r="K20" i="3" s="1"/>
  <c r="H53" i="3"/>
  <c r="K53" i="3" s="1"/>
  <c r="H54" i="3"/>
  <c r="K54" i="3" s="1"/>
  <c r="H17" i="3"/>
  <c r="K17" i="3" s="1"/>
  <c r="G13" i="13"/>
  <c r="H14" i="7"/>
  <c r="K14" i="7" s="1"/>
  <c r="G13" i="7"/>
  <c r="H14" i="5"/>
  <c r="K14" i="5" s="1"/>
  <c r="G13" i="5"/>
  <c r="G45" i="3"/>
  <c r="H45" i="3" s="1"/>
  <c r="G26" i="3"/>
  <c r="G52" i="3"/>
  <c r="G33" i="3"/>
  <c r="H33" i="3" s="1"/>
  <c r="K34" i="3"/>
  <c r="G15" i="3"/>
  <c r="G25" i="3" l="1"/>
  <c r="H25" i="3" s="1"/>
  <c r="K25" i="3" s="1"/>
  <c r="H26" i="3"/>
  <c r="K26" i="3" s="1"/>
  <c r="G14" i="3"/>
  <c r="H14" i="3" s="1"/>
  <c r="H15" i="3"/>
  <c r="H52" i="3"/>
  <c r="K52" i="3" s="1"/>
  <c r="H13" i="13"/>
  <c r="K13" i="13" s="1"/>
  <c r="G12" i="13"/>
  <c r="H13" i="7"/>
  <c r="K13" i="7" s="1"/>
  <c r="G12" i="7"/>
  <c r="H13" i="5"/>
  <c r="K13" i="5" s="1"/>
  <c r="G12" i="5"/>
  <c r="K14" i="3"/>
  <c r="G13" i="3"/>
  <c r="H13" i="3" s="1"/>
  <c r="G51" i="3"/>
  <c r="K45" i="3"/>
  <c r="G44" i="3"/>
  <c r="G42" i="3"/>
  <c r="H42" i="3" s="1"/>
  <c r="K15" i="3"/>
  <c r="K33" i="3"/>
  <c r="G32" i="3"/>
  <c r="H32" i="3" s="1"/>
  <c r="G24" i="3"/>
  <c r="H24" i="3" s="1"/>
  <c r="H44" i="3" l="1"/>
  <c r="K44" i="3" s="1"/>
  <c r="H51" i="3"/>
  <c r="K51" i="3" s="1"/>
  <c r="H12" i="13"/>
  <c r="K12" i="13" s="1"/>
  <c r="G11" i="13"/>
  <c r="H11" i="13" s="1"/>
  <c r="K11" i="13" s="1"/>
  <c r="L11" i="13" s="1"/>
  <c r="H12" i="7"/>
  <c r="K12" i="7" s="1"/>
  <c r="G11" i="7"/>
  <c r="H11" i="7" s="1"/>
  <c r="K11" i="7" s="1"/>
  <c r="L11" i="7" s="1"/>
  <c r="K13" i="3"/>
  <c r="G12" i="3"/>
  <c r="H12" i="5"/>
  <c r="K12" i="5" s="1"/>
  <c r="G11" i="5"/>
  <c r="H11" i="5" s="1"/>
  <c r="K11" i="5" s="1"/>
  <c r="L11" i="5" s="1"/>
  <c r="L12" i="5" s="1"/>
  <c r="L13" i="5" s="1"/>
  <c r="L14" i="5" s="1"/>
  <c r="L15" i="5" s="1"/>
  <c r="L16" i="5" s="1"/>
  <c r="K42" i="3"/>
  <c r="G41" i="3"/>
  <c r="H41" i="3" s="1"/>
  <c r="K32" i="3"/>
  <c r="G31" i="3"/>
  <c r="H31" i="3" s="1"/>
  <c r="K24" i="3"/>
  <c r="G23" i="3"/>
  <c r="H23" i="3" s="1"/>
  <c r="H12" i="3" l="1"/>
  <c r="K12" i="3" s="1"/>
  <c r="L12" i="13"/>
  <c r="L13" i="13" s="1"/>
  <c r="L14" i="13" s="1"/>
  <c r="L15" i="13" s="1"/>
  <c r="L12" i="7"/>
  <c r="L13" i="7" s="1"/>
  <c r="L14" i="7" s="1"/>
  <c r="L15" i="7" s="1"/>
  <c r="K41" i="3"/>
  <c r="G36" i="3"/>
  <c r="K31" i="3"/>
  <c r="G30" i="3"/>
  <c r="H30" i="3" s="1"/>
  <c r="K23" i="3"/>
  <c r="G19" i="3"/>
  <c r="H19" i="3" s="1"/>
  <c r="H36" i="3" l="1"/>
  <c r="K36" i="3" s="1"/>
  <c r="K30" i="3"/>
  <c r="G29" i="3"/>
  <c r="K19" i="3"/>
  <c r="G11" i="3"/>
  <c r="H11" i="3" l="1"/>
  <c r="K11" i="3" s="1"/>
  <c r="L11" i="3" s="1"/>
  <c r="L12" i="3" s="1"/>
  <c r="L13" i="3" s="1"/>
  <c r="L14" i="3" s="1"/>
  <c r="L15" i="3" s="1"/>
  <c r="L16" i="3" s="1"/>
  <c r="L17" i="3" s="1"/>
  <c r="L18" i="3" s="1"/>
  <c r="H29" i="3"/>
  <c r="K29" i="3" s="1"/>
  <c r="L29" i="3" s="1"/>
  <c r="L19" i="3"/>
  <c r="L30" i="3"/>
  <c r="L31" i="3" s="1"/>
  <c r="L32" i="3" s="1"/>
  <c r="L33" i="3" s="1"/>
  <c r="L34" i="3" s="1"/>
  <c r="L35" i="3" s="1"/>
  <c r="L36" i="3"/>
  <c r="L41" i="3" l="1"/>
  <c r="L42" i="3" s="1"/>
  <c r="L37" i="3"/>
  <c r="L38" i="3"/>
  <c r="L39" i="3" s="1"/>
  <c r="L40" i="3" s="1"/>
  <c r="L23" i="3"/>
  <c r="L24" i="3" s="1"/>
  <c r="L25" i="3" s="1"/>
  <c r="L26" i="3" s="1"/>
  <c r="L27" i="3" s="1"/>
  <c r="L28" i="3" s="1"/>
  <c r="L20" i="3"/>
  <c r="L21" i="3" s="1"/>
  <c r="L22" i="3" s="1"/>
  <c r="L51" i="3" l="1"/>
  <c r="L52" i="3" s="1"/>
  <c r="L53" i="3" s="1"/>
  <c r="L54" i="3" s="1"/>
  <c r="L55" i="3" s="1"/>
  <c r="L56" i="3" s="1"/>
  <c r="L44" i="3"/>
  <c r="L45" i="3" s="1"/>
  <c r="L43" i="3"/>
  <c r="L48" i="3" l="1"/>
  <c r="L49" i="3" s="1"/>
  <c r="L50" i="3" s="1"/>
  <c r="L46" i="3"/>
  <c r="L47" i="3" s="1"/>
</calcChain>
</file>

<file path=xl/sharedStrings.xml><?xml version="1.0" encoding="utf-8"?>
<sst xmlns="http://schemas.openxmlformats.org/spreadsheetml/2006/main" count="964" uniqueCount="266">
  <si>
    <t>CLIENTES</t>
  </si>
  <si>
    <t>CLASSE</t>
  </si>
  <si>
    <t>DEMANDA</t>
  </si>
  <si>
    <t>CLASSE "A"</t>
  </si>
  <si>
    <t>CLASSE "B"</t>
  </si>
  <si>
    <t>CLASSE "C"</t>
  </si>
  <si>
    <t>CLASSE "D"</t>
  </si>
  <si>
    <t>TRECHO</t>
  </si>
  <si>
    <t>TOTAL</t>
  </si>
  <si>
    <t>MONO</t>
  </si>
  <si>
    <t>BI</t>
  </si>
  <si>
    <t>TRI</t>
  </si>
  <si>
    <t>TRI ESPECIAL</t>
  </si>
  <si>
    <t>IP70W</t>
  </si>
  <si>
    <t>IP80W</t>
  </si>
  <si>
    <t>IP150W</t>
  </si>
  <si>
    <t>IP250W</t>
  </si>
  <si>
    <t>IP400W</t>
  </si>
  <si>
    <t>DEMANDA DIVERSIFICADA EM KVA</t>
  </si>
  <si>
    <t>LUMIN.</t>
  </si>
  <si>
    <t>QUANT</t>
  </si>
  <si>
    <t>CARGA</t>
  </si>
  <si>
    <t>TIPO DE LIGAÇÃO</t>
  </si>
  <si>
    <t>TRAFO</t>
  </si>
  <si>
    <t>TOTAL DE CLIENTES</t>
  </si>
  <si>
    <t>DEMANDA UNITÁRIA</t>
  </si>
  <si>
    <t>PROJETO</t>
  </si>
  <si>
    <t>CARREGAMENTO TRANSFORMADOR</t>
  </si>
  <si>
    <t>SUBESTAÇÃO</t>
  </si>
  <si>
    <t>VILA VERDE</t>
  </si>
  <si>
    <t>POTÊNCIA DO TRANSFORMADOR - kVA</t>
  </si>
  <si>
    <t>TAXA DE CRESCIMENTO ANUAL</t>
  </si>
  <si>
    <t>PONTO ELÉTRICO DO TRANSFORMADOR</t>
  </si>
  <si>
    <t>FATOR MULTIPLICATIVO  5 ANOS</t>
  </si>
  <si>
    <t>DEMANDA TOTAL DO CIRCUITO DE BT - kVA</t>
  </si>
  <si>
    <t>TRECHOS</t>
  </si>
  <si>
    <t>CARGAS</t>
  </si>
  <si>
    <t>CONDUTOR</t>
  </si>
  <si>
    <t>QUEDA DE TENSÃO</t>
  </si>
  <si>
    <t>TRECHO MONTANTE</t>
  </si>
  <si>
    <t>COMPRIMENTO</t>
  </si>
  <si>
    <t>DISTRIBUÍDA NO TRECHO</t>
  </si>
  <si>
    <t>ACUMULADA NO FINAL DO TRECHO</t>
  </si>
  <si>
    <t>TOTAL (C/2+D)*B</t>
  </si>
  <si>
    <t>UNITÁRIO</t>
  </si>
  <si>
    <t>NO TRECHO</t>
  </si>
  <si>
    <t>A</t>
  </si>
  <si>
    <t>B - 100</t>
  </si>
  <si>
    <t>C - kVA</t>
  </si>
  <si>
    <t>D - kVA</t>
  </si>
  <si>
    <t>E - kVA x B</t>
  </si>
  <si>
    <t>F - mm²</t>
  </si>
  <si>
    <t>G - %</t>
  </si>
  <si>
    <t>H - %</t>
  </si>
  <si>
    <t>I - %</t>
  </si>
  <si>
    <t>ILUMINAÇÃO PÚBLICA</t>
  </si>
  <si>
    <t>TOTAL DO TRECHO</t>
  </si>
  <si>
    <t>3x95+1x70 - Al - F.P 0,8</t>
  </si>
  <si>
    <t>3x50+1x50 - Al - F.P 0,8</t>
  </si>
  <si>
    <t>COEFICIENTES DE QUEDA DE TENSÃO - BAIXA TENSÃO - (%/kVA x 100m) - 220/127 V</t>
  </si>
  <si>
    <t>NÚMERO DE ANOS</t>
  </si>
  <si>
    <t>FATORES DE MULTIPLICAÇÃO DE DEMANDA</t>
  </si>
  <si>
    <t>TAXA DE CRESCIMENTO</t>
  </si>
  <si>
    <t>FATOR DE MULTIPLICAÇÃO DE DEMANDA</t>
  </si>
  <si>
    <t>CABO</t>
  </si>
  <si>
    <t>COEFICIENTES</t>
  </si>
  <si>
    <t>ABADIA</t>
  </si>
  <si>
    <t>ALCÂNTARA</t>
  </si>
  <si>
    <t>3x150+1x80 - Al - F.P 1</t>
  </si>
  <si>
    <t>ALMEIDA PEREIRA</t>
  </si>
  <si>
    <t>3x95+1x54,6 - Al - F.P 1</t>
  </si>
  <si>
    <t>ANGRA</t>
  </si>
  <si>
    <t>3x50+1x54,6 - Al - F.P 1</t>
  </si>
  <si>
    <t>ARARUAMA</t>
  </si>
  <si>
    <t>3x50+1x50 - Al - F.P 1</t>
  </si>
  <si>
    <t>AREAL</t>
  </si>
  <si>
    <t>3x35+1x54,6 - Al - F.P 1</t>
  </si>
  <si>
    <t>ARRAIAL DO CABO</t>
  </si>
  <si>
    <t>3x35+1x35 - Al - F.P 1</t>
  </si>
  <si>
    <t>ARSENAL</t>
  </si>
  <si>
    <t>3x35+1x50 - Al - F.P 1</t>
  </si>
  <si>
    <t>AUGUSTO VIEIRA</t>
  </si>
  <si>
    <t>3x70+1x70 - Al - F.P 1</t>
  </si>
  <si>
    <t>BACAXÁ</t>
  </si>
  <si>
    <t>3x95+1x70 - Al - F.P 1</t>
  </si>
  <si>
    <t>BAIXA GRANDE</t>
  </si>
  <si>
    <t>3x95+1x50 - Al - F.P 1</t>
  </si>
  <si>
    <t>BARCELOS</t>
  </si>
  <si>
    <t>3x120+70 - Al - F.P 1</t>
  </si>
  <si>
    <t>BARRA</t>
  </si>
  <si>
    <t>3x150+70 - Al - F.P 1</t>
  </si>
  <si>
    <t>BARRA ALEGRE</t>
  </si>
  <si>
    <t>2x16+25 - Al - F.P 1</t>
  </si>
  <si>
    <t>BARRACÃO DOS MENDES (ENERGISA)</t>
  </si>
  <si>
    <t>3# 4 - Al - F.P 1</t>
  </si>
  <si>
    <t>BINGEN</t>
  </si>
  <si>
    <t>3# 2 - Al - F.P 1</t>
  </si>
  <si>
    <t>BOM JARDIM</t>
  </si>
  <si>
    <t>3# 1/0 - Al - F.P 1</t>
  </si>
  <si>
    <t>BOM JESUS</t>
  </si>
  <si>
    <t>3# 2/0 - Al - F.P 1</t>
  </si>
  <si>
    <t>BUENA</t>
  </si>
  <si>
    <t>3# 4/0 - Al - F.P 1</t>
  </si>
  <si>
    <t>BÚZIOS</t>
  </si>
  <si>
    <t>2# 4(4) - Al - F.P 1</t>
  </si>
  <si>
    <t>CABIÚNAS</t>
  </si>
  <si>
    <t>2# 2(4) - Al - F.P 1</t>
  </si>
  <si>
    <t>CABO FRIO</t>
  </si>
  <si>
    <t>2# 2(2) - Al - F.P 1</t>
  </si>
  <si>
    <t>CACHOEIRAS DE MACACU</t>
  </si>
  <si>
    <t>2# 1/0(2) - Al - F.P 1</t>
  </si>
  <si>
    <t>CAETÁ</t>
  </si>
  <si>
    <t>2# 2/0(2) - Al - F.P 1</t>
  </si>
  <si>
    <t>CAMBUCI</t>
  </si>
  <si>
    <t>1# 4(4) - Al - F.P 1</t>
  </si>
  <si>
    <t>CAMPOS ELÍSEOS</t>
  </si>
  <si>
    <t>1# 2(2) - Al - F.P 1</t>
  </si>
  <si>
    <t>CARAPEBUS</t>
  </si>
  <si>
    <t>1# 1/0 (2) - Al - F.P 1</t>
  </si>
  <si>
    <t>CARDOSO MOREIRA</t>
  </si>
  <si>
    <t>1# 2/0 (2) - Al - F.P 1</t>
  </si>
  <si>
    <t>CEDAEAMA</t>
  </si>
  <si>
    <t>3# 25 - Cu - F.P 1</t>
  </si>
  <si>
    <t>CONCEIÇÃO DE MACABU</t>
  </si>
  <si>
    <t>3# 35 - Cu - F.P 1</t>
  </si>
  <si>
    <t>CRUZAMENTO</t>
  </si>
  <si>
    <t>2# 16(25) - Cu - F.P 1</t>
  </si>
  <si>
    <t>DISTR. DE CAMPOS</t>
  </si>
  <si>
    <t>2# 25(25) - Cu - F.P 1</t>
  </si>
  <si>
    <t>ENTR. ARARUAMA</t>
  </si>
  <si>
    <t>2# 35(16) - Cu - F.P 1</t>
  </si>
  <si>
    <t>FAGUNDES</t>
  </si>
  <si>
    <t>2# 35(35) - Cu - F.P 1</t>
  </si>
  <si>
    <t>FAROL</t>
  </si>
  <si>
    <t>1# 25(25) - Cu - F.P 1</t>
  </si>
  <si>
    <t>FRANCA AMARAL</t>
  </si>
  <si>
    <t>1# 35(16) - Cu - F.P 1</t>
  </si>
  <si>
    <t>GALO BRANCO</t>
  </si>
  <si>
    <t>1# 35(35) - Cu - F.P 1</t>
  </si>
  <si>
    <t>GOITACAZES</t>
  </si>
  <si>
    <t>3x150+1x80 - Al - F.P 0,8</t>
  </si>
  <si>
    <t>GRADIM (FURNAS)</t>
  </si>
  <si>
    <t>3x95+1x54,6 - Al - F.P 0,8</t>
  </si>
  <si>
    <t>GUARUS</t>
  </si>
  <si>
    <t>3x50+1x54,6 - Al - F.P 0,8</t>
  </si>
  <si>
    <t>GUAXINDIBA</t>
  </si>
  <si>
    <t>ICARAÍ</t>
  </si>
  <si>
    <t>3x35+1x54,6 - Al - F.P 0,8</t>
  </si>
  <si>
    <t>IGUABA</t>
  </si>
  <si>
    <t>3x35+1x35 - Al - F.P 0,8</t>
  </si>
  <si>
    <t>IMBOASSICA</t>
  </si>
  <si>
    <t>3x35+1x50 - Al - F.P 0,8</t>
  </si>
  <si>
    <t>INGÁ</t>
  </si>
  <si>
    <t>3x70+1x70 - Al - F.P 0,8</t>
  </si>
  <si>
    <t>INOÃ</t>
  </si>
  <si>
    <t>ITAIPAVA</t>
  </si>
  <si>
    <t>3x95+1x50 - Al - F.P 0,8</t>
  </si>
  <si>
    <t>ITALVA</t>
  </si>
  <si>
    <t>3x120+70 - Al - F.P 0,8</t>
  </si>
  <si>
    <t>ITAMARATI</t>
  </si>
  <si>
    <t>3x150+70 - Al - F.P 0,8</t>
  </si>
  <si>
    <t>ITAMBI</t>
  </si>
  <si>
    <t>2x16+25 - Al - F.P 0,8</t>
  </si>
  <si>
    <t>ITAOCARA</t>
  </si>
  <si>
    <t>3# 4 - Al - F.P 0,8</t>
  </si>
  <si>
    <t>ITAORNA (ENEL)</t>
  </si>
  <si>
    <t>3# 2 - Al - F.P 0,8</t>
  </si>
  <si>
    <t>ITAORNA (FURNAS)</t>
  </si>
  <si>
    <t>3# 1/0 - Al - F.P 0,8</t>
  </si>
  <si>
    <t>ITAPERUNA</t>
  </si>
  <si>
    <t>3# 2/0 - Al - F.P 0,8</t>
  </si>
  <si>
    <t>ITATIAIA</t>
  </si>
  <si>
    <t>3# 4/0 - Al - F.P 0,8</t>
  </si>
  <si>
    <t>JACUACANGA</t>
  </si>
  <si>
    <t>2# 4(4) - Al - F.P 0,8</t>
  </si>
  <si>
    <t>LIBERDADE</t>
  </si>
  <si>
    <t>2# 2(4) - Al - F.P 0,8</t>
  </si>
  <si>
    <t>MACABU</t>
  </si>
  <si>
    <t>2# 2(2) - Al - F.P 0,8</t>
  </si>
  <si>
    <t>MACAÉ</t>
  </si>
  <si>
    <t>2# 1/0(2) - Al - F.P 0,8</t>
  </si>
  <si>
    <t>MAMBUCABA</t>
  </si>
  <si>
    <t>2# 2/0(2) - Al - F.P 0,8</t>
  </si>
  <si>
    <t>MARIA PAULA</t>
  </si>
  <si>
    <t>1# 4(4) - Al - F.P 0,8</t>
  </si>
  <si>
    <t>MARICÁ</t>
  </si>
  <si>
    <t>1# 2(2) - Al - F.P 0,8</t>
  </si>
  <si>
    <t>MARTINS LAGE</t>
  </si>
  <si>
    <t>1# 1/0 (2) - Al - F.P 0,8</t>
  </si>
  <si>
    <t>MIRACEMA</t>
  </si>
  <si>
    <t>1# 2/0 (2) - Al - F.P 0,8</t>
  </si>
  <si>
    <t>MOMBAÇA</t>
  </si>
  <si>
    <t>3# 25 - Cu - F.P 0,8</t>
  </si>
  <si>
    <t>MURIQUI</t>
  </si>
  <si>
    <t>3# 35 - Cu - F.P 0,8</t>
  </si>
  <si>
    <t>N. S. D' AJUDA</t>
  </si>
  <si>
    <t>2# 16(25) - Cu - F.P 0,8</t>
  </si>
  <si>
    <t>NATIVIDADE</t>
  </si>
  <si>
    <t>2# 25(25) - Cu - F.P 0,8</t>
  </si>
  <si>
    <t>NEVES</t>
  </si>
  <si>
    <t>2# 35(16) - Cu - F.P 0,8</t>
  </si>
  <si>
    <t>NOVA PARADA ANGÉLICA</t>
  </si>
  <si>
    <t>2# 35(35) - Cu - F.P 0,8</t>
  </si>
  <si>
    <t>OUTEIRO</t>
  </si>
  <si>
    <t>1# 25(25) - Cu - F.P 0,8</t>
  </si>
  <si>
    <t>PALATINATO</t>
  </si>
  <si>
    <t>1# 35(16) - Cu - F.P 0,8</t>
  </si>
  <si>
    <t>PALMITAL</t>
  </si>
  <si>
    <t>1# 35(35) - Cu - F.P 0,8</t>
  </si>
  <si>
    <t>PAPUCAIA</t>
  </si>
  <si>
    <t>MULTIPLEX 1#35 (35) CA</t>
  </si>
  <si>
    <t>PARADA ANGÉLICA</t>
  </si>
  <si>
    <t>MULTIPLEX 2#35 (35) CA</t>
  </si>
  <si>
    <t>PARADA MODELO</t>
  </si>
  <si>
    <t>MULTIPLEX 2#16 (16) CU</t>
  </si>
  <si>
    <t>PARATI</t>
  </si>
  <si>
    <t>1#6 (6) CU</t>
  </si>
  <si>
    <t>PATRIMÔNIO</t>
  </si>
  <si>
    <t>2#6 (6) CU</t>
  </si>
  <si>
    <t>PIRATININGA</t>
  </si>
  <si>
    <t>3#6 (6) CU</t>
  </si>
  <si>
    <t>PÓLO INDUSTRIAL DE RESENDE</t>
  </si>
  <si>
    <t>3#2 (6) CU</t>
  </si>
  <si>
    <t>PONTE NOVA</t>
  </si>
  <si>
    <t>CONC 2#10 (10) CU</t>
  </si>
  <si>
    <t>PONTINHA</t>
  </si>
  <si>
    <t>PORTÃO DO ROSA</t>
  </si>
  <si>
    <t>PORTO DO AÇU</t>
  </si>
  <si>
    <t>PORTO DO CARRO</t>
  </si>
  <si>
    <t>PORTO REAL</t>
  </si>
  <si>
    <t>QUISSAMÃ</t>
  </si>
  <si>
    <t>RETIRO SAUDOSO</t>
  </si>
  <si>
    <t>RIO BONITO</t>
  </si>
  <si>
    <t>RIO DA CIDADE</t>
  </si>
  <si>
    <t>RIO DAS OSTRAS</t>
  </si>
  <si>
    <t>ROCHA LEÃO</t>
  </si>
  <si>
    <t>S. ANTÔNIO DE PÁDUA</t>
  </si>
  <si>
    <t>SANTA BÁRBARA</t>
  </si>
  <si>
    <t>SANTA CLARA</t>
  </si>
  <si>
    <t>SÃO FIDÉLIS</t>
  </si>
  <si>
    <t>SÃO LOURENÇO</t>
  </si>
  <si>
    <t>SÃO PEDRO D' ALDEIA</t>
  </si>
  <si>
    <t>SÃO ROQUE</t>
  </si>
  <si>
    <t>SATURNINO BRAGA</t>
  </si>
  <si>
    <t>SECRETÁRIO</t>
  </si>
  <si>
    <t>SERRINHA</t>
  </si>
  <si>
    <t>SETE PONTES</t>
  </si>
  <si>
    <t>SEVERINA</t>
  </si>
  <si>
    <t>SILVA JARDIM</t>
  </si>
  <si>
    <t>STA. CRUZ SERRA</t>
  </si>
  <si>
    <t>TAMOIOS</t>
  </si>
  <si>
    <t>TANGUÁ</t>
  </si>
  <si>
    <t>TAPERA</t>
  </si>
  <si>
    <t>TARITUBA</t>
  </si>
  <si>
    <t>TERESÓPOLIS</t>
  </si>
  <si>
    <t>TOCOS</t>
  </si>
  <si>
    <t>TRAJANO DE MORAES</t>
  </si>
  <si>
    <t>TROMBETAS</t>
  </si>
  <si>
    <t>URURAÍ</t>
  </si>
  <si>
    <t>VAL DE PALMAS</t>
  </si>
  <si>
    <t>VALÃO SECO</t>
  </si>
  <si>
    <t>VENDA DAS PEDRAS</t>
  </si>
  <si>
    <t>VILA NOVA</t>
  </si>
  <si>
    <t>ZONA SUL</t>
  </si>
  <si>
    <t>A052750522</t>
  </si>
  <si>
    <t>C380653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</si>
</sst>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Tahoma"/>
      <family val="2"/>
    </font>
    <font>
      <sz val="11"/>
      <name val="Calibri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2" fontId="5" fillId="4" borderId="14" xfId="0" applyNumberFormat="1" applyFont="1" applyFill="1" applyBorder="1" applyAlignment="1">
      <alignment horizontal="center" vertical="center"/>
    </xf>
    <xf numFmtId="2" fontId="5" fillId="4" borderId="22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2" fontId="5" fillId="4" borderId="28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2" fontId="5" fillId="4" borderId="29" xfId="0" applyNumberFormat="1" applyFont="1" applyFill="1" applyBorder="1" applyAlignment="1">
      <alignment horizontal="center" vertical="center"/>
    </xf>
    <xf numFmtId="2" fontId="5" fillId="4" borderId="27" xfId="0" applyNumberFormat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/>
    </xf>
    <xf numFmtId="10" fontId="2" fillId="6" borderId="14" xfId="0" applyNumberFormat="1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wrapText="1"/>
    </xf>
    <xf numFmtId="9" fontId="2" fillId="7" borderId="14" xfId="0" applyNumberFormat="1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2" fontId="2" fillId="7" borderId="14" xfId="0" applyNumberFormat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4" fontId="6" fillId="6" borderId="23" xfId="0" applyNumberFormat="1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4" fontId="2" fillId="7" borderId="14" xfId="0" applyNumberFormat="1" applyFont="1" applyFill="1" applyBorder="1" applyAlignment="1">
      <alignment horizontal="center" vertical="center"/>
    </xf>
    <xf numFmtId="4" fontId="6" fillId="6" borderId="25" xfId="0" applyNumberFormat="1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4" fontId="2" fillId="6" borderId="14" xfId="0" applyNumberFormat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/>
    </xf>
    <xf numFmtId="0" fontId="2" fillId="0" borderId="0" xfId="0" applyFont="1"/>
    <xf numFmtId="9" fontId="2" fillId="6" borderId="14" xfId="0" applyNumberFormat="1" applyFont="1" applyFill="1" applyBorder="1" applyAlignment="1">
      <alignment horizontal="center"/>
    </xf>
    <xf numFmtId="9" fontId="7" fillId="5" borderId="14" xfId="0" applyNumberFormat="1" applyFont="1" applyFill="1" applyBorder="1" applyAlignment="1">
      <alignment horizontal="center"/>
    </xf>
    <xf numFmtId="0" fontId="2" fillId="6" borderId="14" xfId="0" applyFont="1" applyFill="1" applyBorder="1"/>
    <xf numFmtId="164" fontId="2" fillId="6" borderId="14" xfId="0" applyNumberFormat="1" applyFont="1" applyFill="1" applyBorder="1" applyAlignment="1">
      <alignment horizontal="center" vertical="center"/>
    </xf>
    <xf numFmtId="165" fontId="2" fillId="6" borderId="37" xfId="0" applyNumberFormat="1" applyFont="1" applyFill="1" applyBorder="1"/>
    <xf numFmtId="164" fontId="2" fillId="6" borderId="37" xfId="0" applyNumberFormat="1" applyFont="1" applyFill="1" applyBorder="1"/>
    <xf numFmtId="2" fontId="2" fillId="6" borderId="37" xfId="0" applyNumberFormat="1" applyFont="1" applyFill="1" applyBorder="1"/>
    <xf numFmtId="0" fontId="12" fillId="0" borderId="14" xfId="0" applyFont="1" applyBorder="1"/>
    <xf numFmtId="0" fontId="12" fillId="0" borderId="23" xfId="0" applyFont="1" applyBorder="1" applyAlignment="1">
      <alignment horizontal="center"/>
    </xf>
    <xf numFmtId="0" fontId="12" fillId="0" borderId="23" xfId="0" applyFont="1" applyBorder="1"/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25" xfId="0" applyFont="1" applyBorder="1" applyAlignment="1">
      <alignment horizontal="center"/>
    </xf>
    <xf numFmtId="0" fontId="12" fillId="0" borderId="25" xfId="0" applyFont="1" applyBorder="1"/>
    <xf numFmtId="0" fontId="12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0" borderId="30" xfId="0" applyFont="1" applyBorder="1"/>
    <xf numFmtId="0" fontId="12" fillId="0" borderId="31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3" xfId="0" applyFont="1" applyBorder="1"/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2" xfId="0" applyFont="1" applyBorder="1"/>
    <xf numFmtId="0" fontId="3" fillId="2" borderId="6" xfId="0" applyFont="1" applyFill="1" applyBorder="1" applyAlignment="1">
      <alignment horizontal="center" vertical="center"/>
    </xf>
    <xf numFmtId="0" fontId="4" fillId="0" borderId="17" xfId="0" applyFont="1" applyBorder="1"/>
    <xf numFmtId="2" fontId="5" fillId="4" borderId="18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3" fillId="2" borderId="6" xfId="0" applyFont="1" applyFill="1" applyBorder="1" applyAlignment="1">
      <alignment horizontal="center"/>
    </xf>
    <xf numFmtId="0" fontId="4" fillId="0" borderId="7" xfId="0" applyFont="1" applyBorder="1"/>
    <xf numFmtId="0" fontId="5" fillId="3" borderId="18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16" xfId="0" applyFont="1" applyBorder="1"/>
    <xf numFmtId="0" fontId="7" fillId="5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0" borderId="23" xfId="0" applyFont="1" applyBorder="1"/>
    <xf numFmtId="0" fontId="7" fillId="5" borderId="33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wrapText="1"/>
    </xf>
    <xf numFmtId="0" fontId="8" fillId="5" borderId="33" xfId="0" applyFont="1" applyFill="1" applyBorder="1" applyAlignment="1">
      <alignment horizontal="center" vertical="center" wrapText="1"/>
    </xf>
    <xf numFmtId="2" fontId="9" fillId="4" borderId="18" xfId="0" applyNumberFormat="1" applyFont="1" applyFill="1" applyBorder="1" applyAlignment="1">
      <alignment horizontal="center" vertical="center"/>
    </xf>
    <xf numFmtId="0" fontId="4" fillId="0" borderId="36" xfId="0" applyFont="1" applyBorder="1"/>
  </cellXfs>
  <cellStyles count="1">
    <cellStyle name="Normal" xfId="0" builtinId="0"/>
  </cellStyles>
  <dxfs count="19"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180975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</xdr:row>
      <xdr:rowOff>38100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180975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</xdr:row>
      <xdr:rowOff>38100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180975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</xdr:row>
      <xdr:rowOff>38100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180975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5764FDF-2B67-498C-AC30-6638126933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62100"/>
          <a:ext cx="4991100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</xdr:row>
      <xdr:rowOff>38100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45D69267-CBEC-485F-B6A9-DE4B0C11DF7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350" y="3619500"/>
          <a:ext cx="3076575" cy="6096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56</xdr:col>
      <xdr:colOff>361950</xdr:colOff>
      <xdr:row>0</xdr:row>
      <xdr:rowOff>0</xdr:rowOff>
    </xdr:from>
    <xdr:ext cx="8467725" cy="2295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419100</xdr:colOff>
      <xdr:row>25</xdr:row>
      <xdr:rowOff>19050</xdr:rowOff>
    </xdr:from>
    <xdr:ext cx="5600700" cy="26003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95250</xdr:colOff>
      <xdr:row>18</xdr:row>
      <xdr:rowOff>0</xdr:rowOff>
    </xdr:from>
    <xdr:ext cx="6162675" cy="249555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76200</xdr:colOff>
      <xdr:row>0</xdr:row>
      <xdr:rowOff>0</xdr:rowOff>
    </xdr:from>
    <xdr:ext cx="6705600" cy="38576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523875</xdr:colOff>
      <xdr:row>7</xdr:row>
      <xdr:rowOff>85725</xdr:rowOff>
    </xdr:from>
    <xdr:ext cx="6648450" cy="326707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.6640625" customWidth="1"/>
    <col min="2" max="2" width="10.6640625" customWidth="1"/>
    <col min="3" max="26" width="8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1">
        <v>1</v>
      </c>
      <c r="B2" s="1" t="s">
        <v>3</v>
      </c>
      <c r="C2" s="2">
        <v>1</v>
      </c>
    </row>
    <row r="3" spans="1:3" ht="14.4" x14ac:dyDescent="0.3">
      <c r="A3" s="1">
        <v>1</v>
      </c>
      <c r="B3" s="1" t="s">
        <v>4</v>
      </c>
      <c r="C3" s="2">
        <v>1.6</v>
      </c>
    </row>
    <row r="4" spans="1:3" ht="14.4" x14ac:dyDescent="0.3">
      <c r="A4" s="1">
        <v>1</v>
      </c>
      <c r="B4" s="1" t="s">
        <v>5</v>
      </c>
      <c r="C4" s="2">
        <v>2.6</v>
      </c>
    </row>
    <row r="5" spans="1:3" ht="14.4" x14ac:dyDescent="0.3">
      <c r="A5" s="1">
        <v>1</v>
      </c>
      <c r="B5" s="1" t="s">
        <v>6</v>
      </c>
      <c r="C5" s="2">
        <v>4</v>
      </c>
    </row>
    <row r="6" spans="1:3" ht="14.4" x14ac:dyDescent="0.3">
      <c r="A6" s="1">
        <v>2</v>
      </c>
      <c r="B6" s="1" t="s">
        <v>3</v>
      </c>
      <c r="C6" s="2">
        <v>1</v>
      </c>
    </row>
    <row r="7" spans="1:3" ht="14.4" x14ac:dyDescent="0.3">
      <c r="A7" s="1">
        <v>2</v>
      </c>
      <c r="B7" s="1" t="s">
        <v>4</v>
      </c>
      <c r="C7" s="2">
        <v>1.6</v>
      </c>
    </row>
    <row r="8" spans="1:3" ht="14.4" x14ac:dyDescent="0.3">
      <c r="A8" s="1">
        <v>2</v>
      </c>
      <c r="B8" s="1" t="s">
        <v>5</v>
      </c>
      <c r="C8" s="2">
        <v>2.6</v>
      </c>
    </row>
    <row r="9" spans="1:3" ht="14.4" x14ac:dyDescent="0.3">
      <c r="A9" s="1">
        <v>2</v>
      </c>
      <c r="B9" s="1" t="s">
        <v>6</v>
      </c>
      <c r="C9" s="2">
        <v>4</v>
      </c>
    </row>
    <row r="10" spans="1:3" ht="14.4" x14ac:dyDescent="0.3">
      <c r="A10" s="1">
        <v>3</v>
      </c>
      <c r="B10" s="1" t="s">
        <v>3</v>
      </c>
      <c r="C10" s="2">
        <v>1</v>
      </c>
    </row>
    <row r="11" spans="1:3" ht="14.4" x14ac:dyDescent="0.3">
      <c r="A11" s="1">
        <v>3</v>
      </c>
      <c r="B11" s="1" t="s">
        <v>4</v>
      </c>
      <c r="C11" s="2">
        <v>1.6</v>
      </c>
    </row>
    <row r="12" spans="1:3" ht="14.4" x14ac:dyDescent="0.3">
      <c r="A12" s="1">
        <v>3</v>
      </c>
      <c r="B12" s="1" t="s">
        <v>5</v>
      </c>
      <c r="C12" s="2">
        <v>2.6</v>
      </c>
    </row>
    <row r="13" spans="1:3" ht="14.4" x14ac:dyDescent="0.3">
      <c r="A13" s="1">
        <v>3</v>
      </c>
      <c r="B13" s="1" t="s">
        <v>6</v>
      </c>
      <c r="C13" s="2">
        <v>4</v>
      </c>
    </row>
    <row r="14" spans="1:3" ht="14.4" x14ac:dyDescent="0.3">
      <c r="A14" s="1">
        <v>4</v>
      </c>
      <c r="B14" s="1" t="s">
        <v>3</v>
      </c>
      <c r="C14" s="2">
        <v>1</v>
      </c>
    </row>
    <row r="15" spans="1:3" ht="14.4" x14ac:dyDescent="0.3">
      <c r="A15" s="1">
        <v>4</v>
      </c>
      <c r="B15" s="1" t="s">
        <v>4</v>
      </c>
      <c r="C15" s="2">
        <v>1.6</v>
      </c>
    </row>
    <row r="16" spans="1:3" ht="14.4" x14ac:dyDescent="0.3">
      <c r="A16" s="1">
        <v>4</v>
      </c>
      <c r="B16" s="1" t="s">
        <v>5</v>
      </c>
      <c r="C16" s="2">
        <v>2.6</v>
      </c>
    </row>
    <row r="17" spans="1:3" ht="14.4" x14ac:dyDescent="0.3">
      <c r="A17" s="1">
        <v>4</v>
      </c>
      <c r="B17" s="1" t="s">
        <v>6</v>
      </c>
      <c r="C17" s="2">
        <v>4</v>
      </c>
    </row>
    <row r="18" spans="1:3" ht="14.4" x14ac:dyDescent="0.3">
      <c r="A18" s="1">
        <v>5</v>
      </c>
      <c r="B18" s="1" t="s">
        <v>3</v>
      </c>
      <c r="C18" s="2">
        <v>1</v>
      </c>
    </row>
    <row r="19" spans="1:3" ht="14.4" x14ac:dyDescent="0.3">
      <c r="A19" s="1">
        <v>5</v>
      </c>
      <c r="B19" s="1" t="s">
        <v>4</v>
      </c>
      <c r="C19" s="2">
        <v>1.6</v>
      </c>
    </row>
    <row r="20" spans="1:3" ht="14.4" x14ac:dyDescent="0.3">
      <c r="A20" s="1">
        <v>5</v>
      </c>
      <c r="B20" s="1" t="s">
        <v>5</v>
      </c>
      <c r="C20" s="2">
        <v>2.6</v>
      </c>
    </row>
    <row r="21" spans="1:3" ht="15.75" customHeight="1" x14ac:dyDescent="0.3">
      <c r="A21" s="1">
        <v>5</v>
      </c>
      <c r="B21" s="1" t="s">
        <v>6</v>
      </c>
      <c r="C21" s="2">
        <v>4</v>
      </c>
    </row>
    <row r="22" spans="1:3" ht="15.75" customHeight="1" x14ac:dyDescent="0.3">
      <c r="A22" s="1">
        <v>6</v>
      </c>
      <c r="B22" s="1" t="s">
        <v>3</v>
      </c>
      <c r="C22" s="2">
        <v>0.9</v>
      </c>
    </row>
    <row r="23" spans="1:3" ht="15.75" customHeight="1" x14ac:dyDescent="0.3">
      <c r="A23" s="1">
        <v>6</v>
      </c>
      <c r="B23" s="1" t="s">
        <v>4</v>
      </c>
      <c r="C23" s="2">
        <v>1.4</v>
      </c>
    </row>
    <row r="24" spans="1:3" ht="15.75" customHeight="1" x14ac:dyDescent="0.3">
      <c r="A24" s="1">
        <v>6</v>
      </c>
      <c r="B24" s="1" t="s">
        <v>5</v>
      </c>
      <c r="C24" s="2">
        <v>2.2000000000000002</v>
      </c>
    </row>
    <row r="25" spans="1:3" ht="15.75" customHeight="1" x14ac:dyDescent="0.3">
      <c r="A25" s="1">
        <v>6</v>
      </c>
      <c r="B25" s="1" t="s">
        <v>6</v>
      </c>
      <c r="C25" s="2">
        <v>3.4</v>
      </c>
    </row>
    <row r="26" spans="1:3" ht="15.75" customHeight="1" x14ac:dyDescent="0.3">
      <c r="A26" s="1">
        <v>7</v>
      </c>
      <c r="B26" s="1" t="s">
        <v>3</v>
      </c>
      <c r="C26" s="2">
        <v>0.9</v>
      </c>
    </row>
    <row r="27" spans="1:3" ht="15.75" customHeight="1" x14ac:dyDescent="0.3">
      <c r="A27" s="1">
        <v>7</v>
      </c>
      <c r="B27" s="1" t="s">
        <v>4</v>
      </c>
      <c r="C27" s="2">
        <v>1.4</v>
      </c>
    </row>
    <row r="28" spans="1:3" ht="15.75" customHeight="1" x14ac:dyDescent="0.3">
      <c r="A28" s="1">
        <v>7</v>
      </c>
      <c r="B28" s="1" t="s">
        <v>5</v>
      </c>
      <c r="C28" s="2">
        <v>2.2000000000000002</v>
      </c>
    </row>
    <row r="29" spans="1:3" ht="15.75" customHeight="1" x14ac:dyDescent="0.3">
      <c r="A29" s="1">
        <v>7</v>
      </c>
      <c r="B29" s="1" t="s">
        <v>6</v>
      </c>
      <c r="C29" s="2">
        <v>3.4</v>
      </c>
    </row>
    <row r="30" spans="1:3" ht="15.75" customHeight="1" x14ac:dyDescent="0.3">
      <c r="A30" s="1">
        <v>8</v>
      </c>
      <c r="B30" s="1" t="s">
        <v>3</v>
      </c>
      <c r="C30" s="2">
        <v>0.9</v>
      </c>
    </row>
    <row r="31" spans="1:3" ht="15.75" customHeight="1" x14ac:dyDescent="0.3">
      <c r="A31" s="1">
        <v>8</v>
      </c>
      <c r="B31" s="1" t="s">
        <v>4</v>
      </c>
      <c r="C31" s="2">
        <v>1.4</v>
      </c>
    </row>
    <row r="32" spans="1:3" ht="15.75" customHeight="1" x14ac:dyDescent="0.3">
      <c r="A32" s="1">
        <v>8</v>
      </c>
      <c r="B32" s="1" t="s">
        <v>5</v>
      </c>
      <c r="C32" s="2">
        <v>2.2000000000000002</v>
      </c>
    </row>
    <row r="33" spans="1:3" ht="15.75" customHeight="1" x14ac:dyDescent="0.3">
      <c r="A33" s="1">
        <v>8</v>
      </c>
      <c r="B33" s="1" t="s">
        <v>6</v>
      </c>
      <c r="C33" s="2">
        <v>3.4</v>
      </c>
    </row>
    <row r="34" spans="1:3" ht="15.75" customHeight="1" x14ac:dyDescent="0.3">
      <c r="A34" s="1">
        <v>9</v>
      </c>
      <c r="B34" s="1" t="s">
        <v>3</v>
      </c>
      <c r="C34" s="2">
        <v>0.9</v>
      </c>
    </row>
    <row r="35" spans="1:3" ht="15.75" customHeight="1" x14ac:dyDescent="0.3">
      <c r="A35" s="1">
        <v>9</v>
      </c>
      <c r="B35" s="1" t="s">
        <v>4</v>
      </c>
      <c r="C35" s="2">
        <v>1.4</v>
      </c>
    </row>
    <row r="36" spans="1:3" ht="15.75" customHeight="1" x14ac:dyDescent="0.3">
      <c r="A36" s="1">
        <v>9</v>
      </c>
      <c r="B36" s="1" t="s">
        <v>5</v>
      </c>
      <c r="C36" s="2">
        <v>2.2000000000000002</v>
      </c>
    </row>
    <row r="37" spans="1:3" ht="15.75" customHeight="1" x14ac:dyDescent="0.3">
      <c r="A37" s="1">
        <v>9</v>
      </c>
      <c r="B37" s="1" t="s">
        <v>6</v>
      </c>
      <c r="C37" s="2">
        <v>3.4</v>
      </c>
    </row>
    <row r="38" spans="1:3" ht="15.75" customHeight="1" x14ac:dyDescent="0.3">
      <c r="A38" s="1">
        <v>10</v>
      </c>
      <c r="B38" s="1" t="s">
        <v>3</v>
      </c>
      <c r="C38" s="2">
        <v>0.9</v>
      </c>
    </row>
    <row r="39" spans="1:3" ht="15.75" customHeight="1" x14ac:dyDescent="0.3">
      <c r="A39" s="1">
        <v>10</v>
      </c>
      <c r="B39" s="1" t="s">
        <v>4</v>
      </c>
      <c r="C39" s="2">
        <v>1.4</v>
      </c>
    </row>
    <row r="40" spans="1:3" ht="15.75" customHeight="1" x14ac:dyDescent="0.3">
      <c r="A40" s="1">
        <v>10</v>
      </c>
      <c r="B40" s="1" t="s">
        <v>5</v>
      </c>
      <c r="C40" s="2">
        <v>2.2000000000000002</v>
      </c>
    </row>
    <row r="41" spans="1:3" ht="15.75" customHeight="1" x14ac:dyDescent="0.3">
      <c r="A41" s="1">
        <v>10</v>
      </c>
      <c r="B41" s="1" t="s">
        <v>6</v>
      </c>
      <c r="C41" s="2">
        <v>3.4</v>
      </c>
    </row>
    <row r="42" spans="1:3" ht="15.75" customHeight="1" x14ac:dyDescent="0.3">
      <c r="A42" s="1">
        <v>11</v>
      </c>
      <c r="B42" s="1" t="s">
        <v>3</v>
      </c>
      <c r="C42" s="2">
        <v>0.8</v>
      </c>
    </row>
    <row r="43" spans="1:3" ht="15.75" customHeight="1" x14ac:dyDescent="0.3">
      <c r="A43" s="1">
        <v>11</v>
      </c>
      <c r="B43" s="1" t="s">
        <v>4</v>
      </c>
      <c r="C43" s="2">
        <v>1.2</v>
      </c>
    </row>
    <row r="44" spans="1:3" ht="15.75" customHeight="1" x14ac:dyDescent="0.3">
      <c r="A44" s="1">
        <v>11</v>
      </c>
      <c r="B44" s="1" t="s">
        <v>5</v>
      </c>
      <c r="C44" s="2">
        <v>1.9</v>
      </c>
    </row>
    <row r="45" spans="1:3" ht="15.75" customHeight="1" x14ac:dyDescent="0.3">
      <c r="A45" s="1">
        <v>11</v>
      </c>
      <c r="B45" s="1" t="s">
        <v>6</v>
      </c>
      <c r="C45" s="2">
        <v>3</v>
      </c>
    </row>
    <row r="46" spans="1:3" ht="15.75" customHeight="1" x14ac:dyDescent="0.3">
      <c r="A46" s="1">
        <v>12</v>
      </c>
      <c r="B46" s="1" t="s">
        <v>3</v>
      </c>
      <c r="C46" s="2">
        <v>0.8</v>
      </c>
    </row>
    <row r="47" spans="1:3" ht="15.75" customHeight="1" x14ac:dyDescent="0.3">
      <c r="A47" s="1">
        <v>12</v>
      </c>
      <c r="B47" s="1" t="s">
        <v>4</v>
      </c>
      <c r="C47" s="2">
        <v>1.2</v>
      </c>
    </row>
    <row r="48" spans="1:3" ht="15.75" customHeight="1" x14ac:dyDescent="0.3">
      <c r="A48" s="1">
        <v>12</v>
      </c>
      <c r="B48" s="1" t="s">
        <v>5</v>
      </c>
      <c r="C48" s="2">
        <v>1.9</v>
      </c>
    </row>
    <row r="49" spans="1:3" ht="15.75" customHeight="1" x14ac:dyDescent="0.3">
      <c r="A49" s="1">
        <v>12</v>
      </c>
      <c r="B49" s="1" t="s">
        <v>6</v>
      </c>
      <c r="C49" s="2">
        <v>3</v>
      </c>
    </row>
    <row r="50" spans="1:3" ht="15.75" customHeight="1" x14ac:dyDescent="0.3">
      <c r="A50" s="1">
        <v>13</v>
      </c>
      <c r="B50" s="1" t="s">
        <v>3</v>
      </c>
      <c r="C50" s="2">
        <v>0.8</v>
      </c>
    </row>
    <row r="51" spans="1:3" ht="15.75" customHeight="1" x14ac:dyDescent="0.3">
      <c r="A51" s="1">
        <v>13</v>
      </c>
      <c r="B51" s="1" t="s">
        <v>4</v>
      </c>
      <c r="C51" s="2">
        <v>1.2</v>
      </c>
    </row>
    <row r="52" spans="1:3" ht="15.75" customHeight="1" x14ac:dyDescent="0.3">
      <c r="A52" s="1">
        <v>13</v>
      </c>
      <c r="B52" s="1" t="s">
        <v>5</v>
      </c>
      <c r="C52" s="2">
        <v>1.9</v>
      </c>
    </row>
    <row r="53" spans="1:3" ht="15.75" customHeight="1" x14ac:dyDescent="0.3">
      <c r="A53" s="1">
        <v>13</v>
      </c>
      <c r="B53" s="1" t="s">
        <v>6</v>
      </c>
      <c r="C53" s="2">
        <v>3</v>
      </c>
    </row>
    <row r="54" spans="1:3" ht="15.75" customHeight="1" x14ac:dyDescent="0.3">
      <c r="A54" s="1">
        <v>14</v>
      </c>
      <c r="B54" s="1" t="s">
        <v>3</v>
      </c>
      <c r="C54" s="2">
        <v>0.8</v>
      </c>
    </row>
    <row r="55" spans="1:3" ht="15.75" customHeight="1" x14ac:dyDescent="0.3">
      <c r="A55" s="1">
        <v>14</v>
      </c>
      <c r="B55" s="1" t="s">
        <v>4</v>
      </c>
      <c r="C55" s="2">
        <v>1.2</v>
      </c>
    </row>
    <row r="56" spans="1:3" ht="15.75" customHeight="1" x14ac:dyDescent="0.3">
      <c r="A56" s="1">
        <v>14</v>
      </c>
      <c r="B56" s="1" t="s">
        <v>5</v>
      </c>
      <c r="C56" s="2">
        <v>1.9</v>
      </c>
    </row>
    <row r="57" spans="1:3" ht="15.75" customHeight="1" x14ac:dyDescent="0.3">
      <c r="A57" s="1">
        <v>14</v>
      </c>
      <c r="B57" s="1" t="s">
        <v>6</v>
      </c>
      <c r="C57" s="2">
        <v>3</v>
      </c>
    </row>
    <row r="58" spans="1:3" ht="15.75" customHeight="1" x14ac:dyDescent="0.3">
      <c r="A58" s="1">
        <v>15</v>
      </c>
      <c r="B58" s="1" t="s">
        <v>3</v>
      </c>
      <c r="C58" s="2">
        <v>0.8</v>
      </c>
    </row>
    <row r="59" spans="1:3" ht="15.75" customHeight="1" x14ac:dyDescent="0.3">
      <c r="A59" s="1">
        <v>15</v>
      </c>
      <c r="B59" s="1" t="s">
        <v>4</v>
      </c>
      <c r="C59" s="2">
        <v>1.2</v>
      </c>
    </row>
    <row r="60" spans="1:3" ht="15.75" customHeight="1" x14ac:dyDescent="0.3">
      <c r="A60" s="1">
        <v>15</v>
      </c>
      <c r="B60" s="1" t="s">
        <v>5</v>
      </c>
      <c r="C60" s="2">
        <v>1.9</v>
      </c>
    </row>
    <row r="61" spans="1:3" ht="15.75" customHeight="1" x14ac:dyDescent="0.3">
      <c r="A61" s="1">
        <v>15</v>
      </c>
      <c r="B61" s="1" t="s">
        <v>6</v>
      </c>
      <c r="C61" s="2">
        <v>3</v>
      </c>
    </row>
    <row r="62" spans="1:3" ht="15.75" customHeight="1" x14ac:dyDescent="0.3">
      <c r="A62" s="1">
        <v>16</v>
      </c>
      <c r="B62" s="1" t="s">
        <v>3</v>
      </c>
      <c r="C62" s="2">
        <v>0.7</v>
      </c>
    </row>
    <row r="63" spans="1:3" ht="15.75" customHeight="1" x14ac:dyDescent="0.3">
      <c r="A63" s="1">
        <v>16</v>
      </c>
      <c r="B63" s="1" t="s">
        <v>4</v>
      </c>
      <c r="C63" s="2">
        <v>1.1000000000000001</v>
      </c>
    </row>
    <row r="64" spans="1:3" ht="15.75" customHeight="1" x14ac:dyDescent="0.3">
      <c r="A64" s="1">
        <v>16</v>
      </c>
      <c r="B64" s="1" t="s">
        <v>5</v>
      </c>
      <c r="C64" s="2">
        <v>1.7</v>
      </c>
    </row>
    <row r="65" spans="1:3" ht="15.75" customHeight="1" x14ac:dyDescent="0.3">
      <c r="A65" s="1">
        <v>16</v>
      </c>
      <c r="B65" s="1" t="s">
        <v>6</v>
      </c>
      <c r="C65" s="2">
        <v>2.6</v>
      </c>
    </row>
    <row r="66" spans="1:3" ht="15.75" customHeight="1" x14ac:dyDescent="0.3">
      <c r="A66" s="1">
        <v>17</v>
      </c>
      <c r="B66" s="1" t="s">
        <v>3</v>
      </c>
      <c r="C66" s="2">
        <v>0.7</v>
      </c>
    </row>
    <row r="67" spans="1:3" ht="15.75" customHeight="1" x14ac:dyDescent="0.3">
      <c r="A67" s="1">
        <v>17</v>
      </c>
      <c r="B67" s="1" t="s">
        <v>4</v>
      </c>
      <c r="C67" s="2">
        <v>1.1000000000000001</v>
      </c>
    </row>
    <row r="68" spans="1:3" ht="15.75" customHeight="1" x14ac:dyDescent="0.3">
      <c r="A68" s="1">
        <v>17</v>
      </c>
      <c r="B68" s="1" t="s">
        <v>5</v>
      </c>
      <c r="C68" s="2">
        <v>1.7</v>
      </c>
    </row>
    <row r="69" spans="1:3" ht="15.75" customHeight="1" x14ac:dyDescent="0.3">
      <c r="A69" s="1">
        <v>17</v>
      </c>
      <c r="B69" s="1" t="s">
        <v>6</v>
      </c>
      <c r="C69" s="2">
        <v>2.6</v>
      </c>
    </row>
    <row r="70" spans="1:3" ht="15.75" customHeight="1" x14ac:dyDescent="0.3">
      <c r="A70" s="1">
        <v>18</v>
      </c>
      <c r="B70" s="1" t="s">
        <v>3</v>
      </c>
      <c r="C70" s="2">
        <v>0.7</v>
      </c>
    </row>
    <row r="71" spans="1:3" ht="15.75" customHeight="1" x14ac:dyDescent="0.3">
      <c r="A71" s="1">
        <v>18</v>
      </c>
      <c r="B71" s="1" t="s">
        <v>4</v>
      </c>
      <c r="C71" s="2">
        <v>1.1000000000000001</v>
      </c>
    </row>
    <row r="72" spans="1:3" ht="15.75" customHeight="1" x14ac:dyDescent="0.3">
      <c r="A72" s="1">
        <v>18</v>
      </c>
      <c r="B72" s="1" t="s">
        <v>5</v>
      </c>
      <c r="C72" s="2">
        <v>1.7</v>
      </c>
    </row>
    <row r="73" spans="1:3" ht="15.75" customHeight="1" x14ac:dyDescent="0.3">
      <c r="A73" s="1">
        <v>18</v>
      </c>
      <c r="B73" s="1" t="s">
        <v>6</v>
      </c>
      <c r="C73" s="2">
        <v>2.6</v>
      </c>
    </row>
    <row r="74" spans="1:3" ht="15.75" customHeight="1" x14ac:dyDescent="0.3">
      <c r="A74" s="1">
        <v>19</v>
      </c>
      <c r="B74" s="1" t="s">
        <v>3</v>
      </c>
      <c r="C74" s="2">
        <v>0.7</v>
      </c>
    </row>
    <row r="75" spans="1:3" ht="15.75" customHeight="1" x14ac:dyDescent="0.3">
      <c r="A75" s="1">
        <v>19</v>
      </c>
      <c r="B75" s="1" t="s">
        <v>4</v>
      </c>
      <c r="C75" s="2">
        <v>1.1000000000000001</v>
      </c>
    </row>
    <row r="76" spans="1:3" ht="15.75" customHeight="1" x14ac:dyDescent="0.3">
      <c r="A76" s="1">
        <v>19</v>
      </c>
      <c r="B76" s="1" t="s">
        <v>5</v>
      </c>
      <c r="C76" s="2">
        <v>1.7</v>
      </c>
    </row>
    <row r="77" spans="1:3" ht="15.75" customHeight="1" x14ac:dyDescent="0.3">
      <c r="A77" s="1">
        <v>19</v>
      </c>
      <c r="B77" s="1" t="s">
        <v>6</v>
      </c>
      <c r="C77" s="2">
        <v>2.6</v>
      </c>
    </row>
    <row r="78" spans="1:3" ht="15.75" customHeight="1" x14ac:dyDescent="0.3">
      <c r="A78" s="1">
        <v>20</v>
      </c>
      <c r="B78" s="1" t="s">
        <v>3</v>
      </c>
      <c r="C78" s="2">
        <v>0.7</v>
      </c>
    </row>
    <row r="79" spans="1:3" ht="15.75" customHeight="1" x14ac:dyDescent="0.3">
      <c r="A79" s="1">
        <v>20</v>
      </c>
      <c r="B79" s="1" t="s">
        <v>4</v>
      </c>
      <c r="C79" s="2">
        <v>1.1000000000000001</v>
      </c>
    </row>
    <row r="80" spans="1:3" ht="15.75" customHeight="1" x14ac:dyDescent="0.3">
      <c r="A80" s="1">
        <v>20</v>
      </c>
      <c r="B80" s="1" t="s">
        <v>5</v>
      </c>
      <c r="C80" s="2">
        <v>1.7</v>
      </c>
    </row>
    <row r="81" spans="1:3" ht="15.75" customHeight="1" x14ac:dyDescent="0.3">
      <c r="A81" s="1">
        <v>20</v>
      </c>
      <c r="B81" s="1" t="s">
        <v>6</v>
      </c>
      <c r="C81" s="2">
        <v>2.6</v>
      </c>
    </row>
    <row r="82" spans="1:3" ht="15.75" customHeight="1" x14ac:dyDescent="0.3">
      <c r="A82" s="1">
        <v>21</v>
      </c>
      <c r="B82" s="1" t="s">
        <v>3</v>
      </c>
      <c r="C82" s="2">
        <v>0.6</v>
      </c>
    </row>
    <row r="83" spans="1:3" ht="15.75" customHeight="1" x14ac:dyDescent="0.3">
      <c r="A83" s="1">
        <v>21</v>
      </c>
      <c r="B83" s="1" t="s">
        <v>4</v>
      </c>
      <c r="C83" s="2">
        <v>0.9</v>
      </c>
    </row>
    <row r="84" spans="1:3" ht="15.75" customHeight="1" x14ac:dyDescent="0.3">
      <c r="A84" s="1">
        <v>21</v>
      </c>
      <c r="B84" s="1" t="s">
        <v>5</v>
      </c>
      <c r="C84" s="2">
        <v>1.5</v>
      </c>
    </row>
    <row r="85" spans="1:3" ht="15.75" customHeight="1" x14ac:dyDescent="0.3">
      <c r="A85" s="1">
        <v>21</v>
      </c>
      <c r="B85" s="1" t="s">
        <v>6</v>
      </c>
      <c r="C85" s="2">
        <v>2.2999999999999998</v>
      </c>
    </row>
    <row r="86" spans="1:3" ht="15.75" customHeight="1" x14ac:dyDescent="0.3">
      <c r="A86" s="1">
        <v>22</v>
      </c>
      <c r="B86" s="1" t="s">
        <v>3</v>
      </c>
      <c r="C86" s="2">
        <v>0.6</v>
      </c>
    </row>
    <row r="87" spans="1:3" ht="15.75" customHeight="1" x14ac:dyDescent="0.3">
      <c r="A87" s="1">
        <v>22</v>
      </c>
      <c r="B87" s="1" t="s">
        <v>4</v>
      </c>
      <c r="C87" s="2">
        <v>0.9</v>
      </c>
    </row>
    <row r="88" spans="1:3" ht="15.75" customHeight="1" x14ac:dyDescent="0.3">
      <c r="A88" s="1">
        <v>22</v>
      </c>
      <c r="B88" s="1" t="s">
        <v>5</v>
      </c>
      <c r="C88" s="2">
        <v>1.5</v>
      </c>
    </row>
    <row r="89" spans="1:3" ht="15.75" customHeight="1" x14ac:dyDescent="0.3">
      <c r="A89" s="1">
        <v>22</v>
      </c>
      <c r="B89" s="1" t="s">
        <v>6</v>
      </c>
      <c r="C89" s="2">
        <v>2.2999999999999998</v>
      </c>
    </row>
    <row r="90" spans="1:3" ht="15.75" customHeight="1" x14ac:dyDescent="0.3">
      <c r="A90" s="1">
        <v>23</v>
      </c>
      <c r="B90" s="1" t="s">
        <v>3</v>
      </c>
      <c r="C90" s="2">
        <v>0.6</v>
      </c>
    </row>
    <row r="91" spans="1:3" ht="15.75" customHeight="1" x14ac:dyDescent="0.3">
      <c r="A91" s="1">
        <v>23</v>
      </c>
      <c r="B91" s="1" t="s">
        <v>4</v>
      </c>
      <c r="C91" s="2">
        <v>0.9</v>
      </c>
    </row>
    <row r="92" spans="1:3" ht="15.75" customHeight="1" x14ac:dyDescent="0.3">
      <c r="A92" s="1">
        <v>23</v>
      </c>
      <c r="B92" s="1" t="s">
        <v>5</v>
      </c>
      <c r="C92" s="2">
        <v>1.5</v>
      </c>
    </row>
    <row r="93" spans="1:3" ht="15.75" customHeight="1" x14ac:dyDescent="0.3">
      <c r="A93" s="1">
        <v>23</v>
      </c>
      <c r="B93" s="1" t="s">
        <v>6</v>
      </c>
      <c r="C93" s="2">
        <v>2.2999999999999998</v>
      </c>
    </row>
    <row r="94" spans="1:3" ht="15.75" customHeight="1" x14ac:dyDescent="0.3">
      <c r="A94" s="1">
        <v>24</v>
      </c>
      <c r="B94" s="1" t="s">
        <v>3</v>
      </c>
      <c r="C94" s="2">
        <v>0.6</v>
      </c>
    </row>
    <row r="95" spans="1:3" ht="15.75" customHeight="1" x14ac:dyDescent="0.3">
      <c r="A95" s="1">
        <v>24</v>
      </c>
      <c r="B95" s="1" t="s">
        <v>4</v>
      </c>
      <c r="C95" s="2">
        <v>0.9</v>
      </c>
    </row>
    <row r="96" spans="1:3" ht="15.75" customHeight="1" x14ac:dyDescent="0.3">
      <c r="A96" s="1">
        <v>24</v>
      </c>
      <c r="B96" s="1" t="s">
        <v>5</v>
      </c>
      <c r="C96" s="2">
        <v>1.5</v>
      </c>
    </row>
    <row r="97" spans="1:3" ht="15.75" customHeight="1" x14ac:dyDescent="0.3">
      <c r="A97" s="1">
        <v>24</v>
      </c>
      <c r="B97" s="1" t="s">
        <v>6</v>
      </c>
      <c r="C97" s="2">
        <v>2.2999999999999998</v>
      </c>
    </row>
    <row r="98" spans="1:3" ht="15.75" customHeight="1" x14ac:dyDescent="0.3">
      <c r="A98" s="1">
        <v>25</v>
      </c>
      <c r="B98" s="1" t="s">
        <v>3</v>
      </c>
      <c r="C98" s="2">
        <v>0.6</v>
      </c>
    </row>
    <row r="99" spans="1:3" ht="15.75" customHeight="1" x14ac:dyDescent="0.3">
      <c r="A99" s="1">
        <v>25</v>
      </c>
      <c r="B99" s="1" t="s">
        <v>4</v>
      </c>
      <c r="C99" s="2">
        <v>0.9</v>
      </c>
    </row>
    <row r="100" spans="1:3" ht="15.75" customHeight="1" x14ac:dyDescent="0.3">
      <c r="A100" s="1">
        <v>25</v>
      </c>
      <c r="B100" s="1" t="s">
        <v>5</v>
      </c>
      <c r="C100" s="2">
        <v>1.5</v>
      </c>
    </row>
    <row r="101" spans="1:3" ht="15.75" customHeight="1" x14ac:dyDescent="0.3">
      <c r="A101" s="1">
        <v>25</v>
      </c>
      <c r="B101" s="1" t="s">
        <v>6</v>
      </c>
      <c r="C101" s="2">
        <v>2.2999999999999998</v>
      </c>
    </row>
    <row r="102" spans="1:3" ht="15.75" customHeight="1" x14ac:dyDescent="0.3">
      <c r="A102" s="1">
        <v>26</v>
      </c>
      <c r="B102" s="1" t="s">
        <v>3</v>
      </c>
      <c r="C102" s="2">
        <v>0.5</v>
      </c>
    </row>
    <row r="103" spans="1:3" ht="15.75" customHeight="1" x14ac:dyDescent="0.3">
      <c r="A103" s="1">
        <v>26</v>
      </c>
      <c r="B103" s="1" t="s">
        <v>4</v>
      </c>
      <c r="C103" s="2">
        <v>0.9</v>
      </c>
    </row>
    <row r="104" spans="1:3" ht="15.75" customHeight="1" x14ac:dyDescent="0.3">
      <c r="A104" s="1">
        <v>26</v>
      </c>
      <c r="B104" s="1" t="s">
        <v>5</v>
      </c>
      <c r="C104" s="2">
        <v>1.4</v>
      </c>
    </row>
    <row r="105" spans="1:3" ht="15.75" customHeight="1" x14ac:dyDescent="0.3">
      <c r="A105" s="1">
        <v>26</v>
      </c>
      <c r="B105" s="1" t="s">
        <v>6</v>
      </c>
      <c r="C105" s="2">
        <v>2.1</v>
      </c>
    </row>
    <row r="106" spans="1:3" ht="15.75" customHeight="1" x14ac:dyDescent="0.3">
      <c r="A106" s="1">
        <v>27</v>
      </c>
      <c r="B106" s="1" t="s">
        <v>3</v>
      </c>
      <c r="C106" s="2">
        <v>0.5</v>
      </c>
    </row>
    <row r="107" spans="1:3" ht="15.75" customHeight="1" x14ac:dyDescent="0.3">
      <c r="A107" s="1">
        <v>27</v>
      </c>
      <c r="B107" s="1" t="s">
        <v>4</v>
      </c>
      <c r="C107" s="2">
        <v>0.9</v>
      </c>
    </row>
    <row r="108" spans="1:3" ht="15.75" customHeight="1" x14ac:dyDescent="0.3">
      <c r="A108" s="1">
        <v>27</v>
      </c>
      <c r="B108" s="1" t="s">
        <v>5</v>
      </c>
      <c r="C108" s="2">
        <v>1.4</v>
      </c>
    </row>
    <row r="109" spans="1:3" ht="15.75" customHeight="1" x14ac:dyDescent="0.3">
      <c r="A109" s="1">
        <v>27</v>
      </c>
      <c r="B109" s="1" t="s">
        <v>6</v>
      </c>
      <c r="C109" s="2">
        <v>2.1</v>
      </c>
    </row>
    <row r="110" spans="1:3" ht="15.75" customHeight="1" x14ac:dyDescent="0.3">
      <c r="A110" s="1">
        <v>28</v>
      </c>
      <c r="B110" s="1" t="s">
        <v>3</v>
      </c>
      <c r="C110" s="2">
        <v>0.5</v>
      </c>
    </row>
    <row r="111" spans="1:3" ht="15.75" customHeight="1" x14ac:dyDescent="0.3">
      <c r="A111" s="1">
        <v>28</v>
      </c>
      <c r="B111" s="1" t="s">
        <v>4</v>
      </c>
      <c r="C111" s="2">
        <v>0.9</v>
      </c>
    </row>
    <row r="112" spans="1:3" ht="15.75" customHeight="1" x14ac:dyDescent="0.3">
      <c r="A112" s="1">
        <v>28</v>
      </c>
      <c r="B112" s="1" t="s">
        <v>5</v>
      </c>
      <c r="C112" s="2">
        <v>1.4</v>
      </c>
    </row>
    <row r="113" spans="1:3" ht="15.75" customHeight="1" x14ac:dyDescent="0.3">
      <c r="A113" s="1">
        <v>28</v>
      </c>
      <c r="B113" s="1" t="s">
        <v>6</v>
      </c>
      <c r="C113" s="2">
        <v>2.1</v>
      </c>
    </row>
    <row r="114" spans="1:3" ht="15.75" customHeight="1" x14ac:dyDescent="0.3">
      <c r="A114" s="1">
        <v>29</v>
      </c>
      <c r="B114" s="1" t="s">
        <v>3</v>
      </c>
      <c r="C114" s="2">
        <v>0.5</v>
      </c>
    </row>
    <row r="115" spans="1:3" ht="15.75" customHeight="1" x14ac:dyDescent="0.3">
      <c r="A115" s="1">
        <v>29</v>
      </c>
      <c r="B115" s="1" t="s">
        <v>4</v>
      </c>
      <c r="C115" s="2">
        <v>0.9</v>
      </c>
    </row>
    <row r="116" spans="1:3" ht="15.75" customHeight="1" x14ac:dyDescent="0.3">
      <c r="A116" s="1">
        <v>29</v>
      </c>
      <c r="B116" s="1" t="s">
        <v>5</v>
      </c>
      <c r="C116" s="2">
        <v>1.4</v>
      </c>
    </row>
    <row r="117" spans="1:3" ht="15.75" customHeight="1" x14ac:dyDescent="0.3">
      <c r="A117" s="1">
        <v>29</v>
      </c>
      <c r="B117" s="1" t="s">
        <v>6</v>
      </c>
      <c r="C117" s="2">
        <v>2.1</v>
      </c>
    </row>
    <row r="118" spans="1:3" ht="15.75" customHeight="1" x14ac:dyDescent="0.3">
      <c r="A118" s="1">
        <v>30</v>
      </c>
      <c r="B118" s="1" t="s">
        <v>3</v>
      </c>
      <c r="C118" s="2">
        <v>0.5</v>
      </c>
    </row>
    <row r="119" spans="1:3" ht="15.75" customHeight="1" x14ac:dyDescent="0.3">
      <c r="A119" s="1">
        <v>30</v>
      </c>
      <c r="B119" s="1" t="s">
        <v>4</v>
      </c>
      <c r="C119" s="2">
        <v>0.9</v>
      </c>
    </row>
    <row r="120" spans="1:3" ht="15.75" customHeight="1" x14ac:dyDescent="0.3">
      <c r="A120" s="1">
        <v>30</v>
      </c>
      <c r="B120" s="1" t="s">
        <v>5</v>
      </c>
      <c r="C120" s="2">
        <v>1.4</v>
      </c>
    </row>
    <row r="121" spans="1:3" ht="15.75" customHeight="1" x14ac:dyDescent="0.3">
      <c r="A121" s="1">
        <v>30</v>
      </c>
      <c r="B121" s="1" t="s">
        <v>6</v>
      </c>
      <c r="C121" s="2">
        <v>2.1</v>
      </c>
    </row>
    <row r="122" spans="1:3" ht="15.75" customHeight="1" x14ac:dyDescent="0.3">
      <c r="A122" s="1">
        <v>31</v>
      </c>
      <c r="B122" s="1" t="s">
        <v>3</v>
      </c>
      <c r="C122" s="2">
        <v>0.5</v>
      </c>
    </row>
    <row r="123" spans="1:3" ht="15.75" customHeight="1" x14ac:dyDescent="0.3">
      <c r="A123" s="1">
        <v>31</v>
      </c>
      <c r="B123" s="1" t="s">
        <v>4</v>
      </c>
      <c r="C123" s="2">
        <v>0.8</v>
      </c>
    </row>
    <row r="124" spans="1:3" ht="15.75" customHeight="1" x14ac:dyDescent="0.3">
      <c r="A124" s="1">
        <v>31</v>
      </c>
      <c r="B124" s="1" t="s">
        <v>5</v>
      </c>
      <c r="C124" s="2">
        <v>1.3</v>
      </c>
    </row>
    <row r="125" spans="1:3" ht="15.75" customHeight="1" x14ac:dyDescent="0.3">
      <c r="A125" s="1">
        <v>31</v>
      </c>
      <c r="B125" s="1" t="s">
        <v>6</v>
      </c>
      <c r="C125" s="2">
        <v>2</v>
      </c>
    </row>
    <row r="126" spans="1:3" ht="15.75" customHeight="1" x14ac:dyDescent="0.3">
      <c r="A126" s="1">
        <v>32</v>
      </c>
      <c r="B126" s="1" t="s">
        <v>3</v>
      </c>
      <c r="C126" s="2">
        <v>0.5</v>
      </c>
    </row>
    <row r="127" spans="1:3" ht="15.75" customHeight="1" x14ac:dyDescent="0.3">
      <c r="A127" s="1">
        <v>32</v>
      </c>
      <c r="B127" s="1" t="s">
        <v>4</v>
      </c>
      <c r="C127" s="2">
        <v>0.8</v>
      </c>
    </row>
    <row r="128" spans="1:3" ht="15.75" customHeight="1" x14ac:dyDescent="0.3">
      <c r="A128" s="1">
        <v>32</v>
      </c>
      <c r="B128" s="1" t="s">
        <v>5</v>
      </c>
      <c r="C128" s="2">
        <v>1.3</v>
      </c>
    </row>
    <row r="129" spans="1:3" ht="15.75" customHeight="1" x14ac:dyDescent="0.3">
      <c r="A129" s="1">
        <v>32</v>
      </c>
      <c r="B129" s="1" t="s">
        <v>6</v>
      </c>
      <c r="C129" s="2">
        <v>2</v>
      </c>
    </row>
    <row r="130" spans="1:3" ht="15.75" customHeight="1" x14ac:dyDescent="0.3">
      <c r="A130" s="1">
        <v>33</v>
      </c>
      <c r="B130" s="1" t="s">
        <v>3</v>
      </c>
      <c r="C130" s="2">
        <v>0.5</v>
      </c>
    </row>
    <row r="131" spans="1:3" ht="15.75" customHeight="1" x14ac:dyDescent="0.3">
      <c r="A131" s="1">
        <v>33</v>
      </c>
      <c r="B131" s="1" t="s">
        <v>4</v>
      </c>
      <c r="C131" s="2">
        <v>0.8</v>
      </c>
    </row>
    <row r="132" spans="1:3" ht="15.75" customHeight="1" x14ac:dyDescent="0.3">
      <c r="A132" s="1">
        <v>33</v>
      </c>
      <c r="B132" s="1" t="s">
        <v>5</v>
      </c>
      <c r="C132" s="2">
        <v>1.3</v>
      </c>
    </row>
    <row r="133" spans="1:3" ht="15.75" customHeight="1" x14ac:dyDescent="0.3">
      <c r="A133" s="1">
        <v>33</v>
      </c>
      <c r="B133" s="1" t="s">
        <v>6</v>
      </c>
      <c r="C133" s="2">
        <v>2</v>
      </c>
    </row>
    <row r="134" spans="1:3" ht="15.75" customHeight="1" x14ac:dyDescent="0.3">
      <c r="A134" s="1">
        <v>34</v>
      </c>
      <c r="B134" s="1" t="s">
        <v>3</v>
      </c>
      <c r="C134" s="2">
        <v>0.5</v>
      </c>
    </row>
    <row r="135" spans="1:3" ht="15.75" customHeight="1" x14ac:dyDescent="0.3">
      <c r="A135" s="1">
        <v>34</v>
      </c>
      <c r="B135" s="1" t="s">
        <v>4</v>
      </c>
      <c r="C135" s="2">
        <v>0.8</v>
      </c>
    </row>
    <row r="136" spans="1:3" ht="15.75" customHeight="1" x14ac:dyDescent="0.3">
      <c r="A136" s="1">
        <v>34</v>
      </c>
      <c r="B136" s="1" t="s">
        <v>5</v>
      </c>
      <c r="C136" s="2">
        <v>1.3</v>
      </c>
    </row>
    <row r="137" spans="1:3" ht="15.75" customHeight="1" x14ac:dyDescent="0.3">
      <c r="A137" s="1">
        <v>34</v>
      </c>
      <c r="B137" s="1" t="s">
        <v>6</v>
      </c>
      <c r="C137" s="2">
        <v>2</v>
      </c>
    </row>
    <row r="138" spans="1:3" ht="15.75" customHeight="1" x14ac:dyDescent="0.3">
      <c r="A138" s="1">
        <v>35</v>
      </c>
      <c r="B138" s="1" t="s">
        <v>3</v>
      </c>
      <c r="C138" s="2">
        <v>0.5</v>
      </c>
    </row>
    <row r="139" spans="1:3" ht="15.75" customHeight="1" x14ac:dyDescent="0.3">
      <c r="A139" s="1">
        <v>35</v>
      </c>
      <c r="B139" s="1" t="s">
        <v>4</v>
      </c>
      <c r="C139" s="2">
        <v>0.8</v>
      </c>
    </row>
    <row r="140" spans="1:3" ht="15.75" customHeight="1" x14ac:dyDescent="0.3">
      <c r="A140" s="1">
        <v>35</v>
      </c>
      <c r="B140" s="1" t="s">
        <v>5</v>
      </c>
      <c r="C140" s="2">
        <v>1.3</v>
      </c>
    </row>
    <row r="141" spans="1:3" ht="15.75" customHeight="1" x14ac:dyDescent="0.3">
      <c r="A141" s="1">
        <v>35</v>
      </c>
      <c r="B141" s="1" t="s">
        <v>6</v>
      </c>
      <c r="C141" s="2">
        <v>2</v>
      </c>
    </row>
    <row r="142" spans="1:3" ht="15.75" customHeight="1" x14ac:dyDescent="0.3">
      <c r="A142" s="1">
        <v>36</v>
      </c>
      <c r="B142" s="1" t="s">
        <v>3</v>
      </c>
      <c r="C142" s="2">
        <v>0.5</v>
      </c>
    </row>
    <row r="143" spans="1:3" ht="15.75" customHeight="1" x14ac:dyDescent="0.3">
      <c r="A143" s="1">
        <v>36</v>
      </c>
      <c r="B143" s="1" t="s">
        <v>4</v>
      </c>
      <c r="C143" s="2">
        <v>0.8</v>
      </c>
    </row>
    <row r="144" spans="1:3" ht="15.75" customHeight="1" x14ac:dyDescent="0.3">
      <c r="A144" s="1">
        <v>36</v>
      </c>
      <c r="B144" s="1" t="s">
        <v>5</v>
      </c>
      <c r="C144" s="2">
        <v>1.3</v>
      </c>
    </row>
    <row r="145" spans="1:3" ht="15.75" customHeight="1" x14ac:dyDescent="0.3">
      <c r="A145" s="1">
        <v>36</v>
      </c>
      <c r="B145" s="1" t="s">
        <v>6</v>
      </c>
      <c r="C145" s="2">
        <v>2</v>
      </c>
    </row>
    <row r="146" spans="1:3" ht="15.75" customHeight="1" x14ac:dyDescent="0.3">
      <c r="A146" s="1">
        <v>37</v>
      </c>
      <c r="B146" s="1" t="s">
        <v>3</v>
      </c>
      <c r="C146" s="2">
        <v>0.5</v>
      </c>
    </row>
    <row r="147" spans="1:3" ht="15.75" customHeight="1" x14ac:dyDescent="0.3">
      <c r="A147" s="1">
        <v>37</v>
      </c>
      <c r="B147" s="1" t="s">
        <v>4</v>
      </c>
      <c r="C147" s="2">
        <v>0.8</v>
      </c>
    </row>
    <row r="148" spans="1:3" ht="15.75" customHeight="1" x14ac:dyDescent="0.3">
      <c r="A148" s="1">
        <v>37</v>
      </c>
      <c r="B148" s="1" t="s">
        <v>5</v>
      </c>
      <c r="C148" s="2">
        <v>1.3</v>
      </c>
    </row>
    <row r="149" spans="1:3" ht="15.75" customHeight="1" x14ac:dyDescent="0.3">
      <c r="A149" s="1">
        <v>37</v>
      </c>
      <c r="B149" s="1" t="s">
        <v>6</v>
      </c>
      <c r="C149" s="2">
        <v>2</v>
      </c>
    </row>
    <row r="150" spans="1:3" ht="15.75" customHeight="1" x14ac:dyDescent="0.3">
      <c r="A150" s="1">
        <v>38</v>
      </c>
      <c r="B150" s="1" t="s">
        <v>3</v>
      </c>
      <c r="C150" s="2">
        <v>0.5</v>
      </c>
    </row>
    <row r="151" spans="1:3" ht="15.75" customHeight="1" x14ac:dyDescent="0.3">
      <c r="A151" s="1">
        <v>38</v>
      </c>
      <c r="B151" s="1" t="s">
        <v>4</v>
      </c>
      <c r="C151" s="2">
        <v>0.8</v>
      </c>
    </row>
    <row r="152" spans="1:3" ht="15.75" customHeight="1" x14ac:dyDescent="0.3">
      <c r="A152" s="1">
        <v>38</v>
      </c>
      <c r="B152" s="1" t="s">
        <v>5</v>
      </c>
      <c r="C152" s="2">
        <v>1.3</v>
      </c>
    </row>
    <row r="153" spans="1:3" ht="15.75" customHeight="1" x14ac:dyDescent="0.3">
      <c r="A153" s="1">
        <v>38</v>
      </c>
      <c r="B153" s="1" t="s">
        <v>6</v>
      </c>
      <c r="C153" s="2">
        <v>2</v>
      </c>
    </row>
    <row r="154" spans="1:3" ht="15.75" customHeight="1" x14ac:dyDescent="0.3">
      <c r="A154" s="1">
        <v>39</v>
      </c>
      <c r="B154" s="1" t="s">
        <v>3</v>
      </c>
      <c r="C154" s="2">
        <v>0.5</v>
      </c>
    </row>
    <row r="155" spans="1:3" ht="15.75" customHeight="1" x14ac:dyDescent="0.3">
      <c r="A155" s="1">
        <v>39</v>
      </c>
      <c r="B155" s="1" t="s">
        <v>4</v>
      </c>
      <c r="C155" s="2">
        <v>0.8</v>
      </c>
    </row>
    <row r="156" spans="1:3" ht="15.75" customHeight="1" x14ac:dyDescent="0.3">
      <c r="A156" s="1">
        <v>39</v>
      </c>
      <c r="B156" s="1" t="s">
        <v>5</v>
      </c>
      <c r="C156" s="2">
        <v>1.3</v>
      </c>
    </row>
    <row r="157" spans="1:3" ht="15.75" customHeight="1" x14ac:dyDescent="0.3">
      <c r="A157" s="1">
        <v>39</v>
      </c>
      <c r="B157" s="1" t="s">
        <v>6</v>
      </c>
      <c r="C157" s="2">
        <v>2</v>
      </c>
    </row>
    <row r="158" spans="1:3" ht="15.75" customHeight="1" x14ac:dyDescent="0.3">
      <c r="A158" s="1">
        <v>40</v>
      </c>
      <c r="B158" s="1" t="s">
        <v>3</v>
      </c>
      <c r="C158" s="2">
        <v>0.5</v>
      </c>
    </row>
    <row r="159" spans="1:3" ht="15.75" customHeight="1" x14ac:dyDescent="0.3">
      <c r="A159" s="1">
        <v>40</v>
      </c>
      <c r="B159" s="1" t="s">
        <v>4</v>
      </c>
      <c r="C159" s="2">
        <v>0.8</v>
      </c>
    </row>
    <row r="160" spans="1:3" ht="15.75" customHeight="1" x14ac:dyDescent="0.3">
      <c r="A160" s="1">
        <v>40</v>
      </c>
      <c r="B160" s="1" t="s">
        <v>5</v>
      </c>
      <c r="C160" s="2">
        <v>1.3</v>
      </c>
    </row>
    <row r="161" spans="1:3" ht="15.75" customHeight="1" x14ac:dyDescent="0.3">
      <c r="A161" s="1">
        <v>40</v>
      </c>
      <c r="B161" s="1" t="s">
        <v>6</v>
      </c>
      <c r="C161" s="2">
        <v>2</v>
      </c>
    </row>
    <row r="162" spans="1:3" ht="15.75" customHeight="1" x14ac:dyDescent="0.3">
      <c r="A162" s="1">
        <v>41</v>
      </c>
      <c r="B162" s="1" t="s">
        <v>3</v>
      </c>
      <c r="C162" s="2">
        <v>0.5</v>
      </c>
    </row>
    <row r="163" spans="1:3" ht="15.75" customHeight="1" x14ac:dyDescent="0.3">
      <c r="A163" s="1">
        <v>41</v>
      </c>
      <c r="B163" s="1" t="s">
        <v>4</v>
      </c>
      <c r="C163" s="2">
        <v>0.8</v>
      </c>
    </row>
    <row r="164" spans="1:3" ht="15.75" customHeight="1" x14ac:dyDescent="0.3">
      <c r="A164" s="1">
        <v>41</v>
      </c>
      <c r="B164" s="1" t="s">
        <v>5</v>
      </c>
      <c r="C164" s="2">
        <v>1.3</v>
      </c>
    </row>
    <row r="165" spans="1:3" ht="15.75" customHeight="1" x14ac:dyDescent="0.3">
      <c r="A165" s="1">
        <v>41</v>
      </c>
      <c r="B165" s="1" t="s">
        <v>6</v>
      </c>
      <c r="C165" s="2">
        <v>2</v>
      </c>
    </row>
    <row r="166" spans="1:3" ht="15.75" customHeight="1" x14ac:dyDescent="0.3">
      <c r="A166" s="1">
        <v>42</v>
      </c>
      <c r="B166" s="1" t="s">
        <v>3</v>
      </c>
      <c r="C166" s="2">
        <v>0.5</v>
      </c>
    </row>
    <row r="167" spans="1:3" ht="15.75" customHeight="1" x14ac:dyDescent="0.3">
      <c r="A167" s="1">
        <v>42</v>
      </c>
      <c r="B167" s="1" t="s">
        <v>4</v>
      </c>
      <c r="C167" s="2">
        <v>0.8</v>
      </c>
    </row>
    <row r="168" spans="1:3" ht="15.75" customHeight="1" x14ac:dyDescent="0.3">
      <c r="A168" s="1">
        <v>42</v>
      </c>
      <c r="B168" s="1" t="s">
        <v>5</v>
      </c>
      <c r="C168" s="2">
        <v>1.3</v>
      </c>
    </row>
    <row r="169" spans="1:3" ht="15.75" customHeight="1" x14ac:dyDescent="0.3">
      <c r="A169" s="1">
        <v>42</v>
      </c>
      <c r="B169" s="1" t="s">
        <v>6</v>
      </c>
      <c r="C169" s="2">
        <v>2</v>
      </c>
    </row>
    <row r="170" spans="1:3" ht="15.75" customHeight="1" x14ac:dyDescent="0.3">
      <c r="A170" s="1">
        <v>43</v>
      </c>
      <c r="B170" s="1" t="s">
        <v>3</v>
      </c>
      <c r="C170" s="2">
        <v>0.5</v>
      </c>
    </row>
    <row r="171" spans="1:3" ht="15.75" customHeight="1" x14ac:dyDescent="0.3">
      <c r="A171" s="1">
        <v>43</v>
      </c>
      <c r="B171" s="1" t="s">
        <v>4</v>
      </c>
      <c r="C171" s="2">
        <v>0.8</v>
      </c>
    </row>
    <row r="172" spans="1:3" ht="15.75" customHeight="1" x14ac:dyDescent="0.3">
      <c r="A172" s="1">
        <v>43</v>
      </c>
      <c r="B172" s="1" t="s">
        <v>5</v>
      </c>
      <c r="C172" s="2">
        <v>1.3</v>
      </c>
    </row>
    <row r="173" spans="1:3" ht="15.75" customHeight="1" x14ac:dyDescent="0.3">
      <c r="A173" s="1">
        <v>43</v>
      </c>
      <c r="B173" s="1" t="s">
        <v>6</v>
      </c>
      <c r="C173" s="2">
        <v>2</v>
      </c>
    </row>
    <row r="174" spans="1:3" ht="15.75" customHeight="1" x14ac:dyDescent="0.3">
      <c r="A174" s="1">
        <v>44</v>
      </c>
      <c r="B174" s="1" t="s">
        <v>3</v>
      </c>
      <c r="C174" s="2">
        <v>0.5</v>
      </c>
    </row>
    <row r="175" spans="1:3" ht="15.75" customHeight="1" x14ac:dyDescent="0.3">
      <c r="A175" s="1">
        <v>44</v>
      </c>
      <c r="B175" s="1" t="s">
        <v>4</v>
      </c>
      <c r="C175" s="2">
        <v>0.8</v>
      </c>
    </row>
    <row r="176" spans="1:3" ht="15.75" customHeight="1" x14ac:dyDescent="0.3">
      <c r="A176" s="1">
        <v>44</v>
      </c>
      <c r="B176" s="1" t="s">
        <v>5</v>
      </c>
      <c r="C176" s="2">
        <v>1.3</v>
      </c>
    </row>
    <row r="177" spans="1:3" ht="15.75" customHeight="1" x14ac:dyDescent="0.3">
      <c r="A177" s="1">
        <v>44</v>
      </c>
      <c r="B177" s="1" t="s">
        <v>6</v>
      </c>
      <c r="C177" s="2">
        <v>2</v>
      </c>
    </row>
    <row r="178" spans="1:3" ht="15.75" customHeight="1" x14ac:dyDescent="0.3">
      <c r="A178" s="1">
        <v>45</v>
      </c>
      <c r="B178" s="1" t="s">
        <v>3</v>
      </c>
      <c r="C178" s="2">
        <v>0.5</v>
      </c>
    </row>
    <row r="179" spans="1:3" ht="15.75" customHeight="1" x14ac:dyDescent="0.3">
      <c r="A179" s="1">
        <v>45</v>
      </c>
      <c r="B179" s="1" t="s">
        <v>4</v>
      </c>
      <c r="C179" s="2">
        <v>0.8</v>
      </c>
    </row>
    <row r="180" spans="1:3" ht="15.75" customHeight="1" x14ac:dyDescent="0.3">
      <c r="A180" s="1">
        <v>45</v>
      </c>
      <c r="B180" s="1" t="s">
        <v>5</v>
      </c>
      <c r="C180" s="2">
        <v>1.3</v>
      </c>
    </row>
    <row r="181" spans="1:3" ht="15.75" customHeight="1" x14ac:dyDescent="0.3">
      <c r="A181" s="1">
        <v>45</v>
      </c>
      <c r="B181" s="1" t="s">
        <v>6</v>
      </c>
      <c r="C181" s="2">
        <v>2</v>
      </c>
    </row>
    <row r="182" spans="1:3" ht="15.75" customHeight="1" x14ac:dyDescent="0.3">
      <c r="A182" s="1">
        <v>46</v>
      </c>
      <c r="B182" s="1" t="s">
        <v>3</v>
      </c>
      <c r="C182" s="2">
        <v>0.5</v>
      </c>
    </row>
    <row r="183" spans="1:3" ht="15.75" customHeight="1" x14ac:dyDescent="0.3">
      <c r="A183" s="1">
        <v>46</v>
      </c>
      <c r="B183" s="1" t="s">
        <v>4</v>
      </c>
      <c r="C183" s="2">
        <v>0.8</v>
      </c>
    </row>
    <row r="184" spans="1:3" ht="15.75" customHeight="1" x14ac:dyDescent="0.3">
      <c r="A184" s="1">
        <v>46</v>
      </c>
      <c r="B184" s="1" t="s">
        <v>5</v>
      </c>
      <c r="C184" s="2">
        <v>1.3</v>
      </c>
    </row>
    <row r="185" spans="1:3" ht="15.75" customHeight="1" x14ac:dyDescent="0.3">
      <c r="A185" s="1">
        <v>46</v>
      </c>
      <c r="B185" s="1" t="s">
        <v>6</v>
      </c>
      <c r="C185" s="2">
        <v>2</v>
      </c>
    </row>
    <row r="186" spans="1:3" ht="15.75" customHeight="1" x14ac:dyDescent="0.3">
      <c r="A186" s="1">
        <v>47</v>
      </c>
      <c r="B186" s="1" t="s">
        <v>3</v>
      </c>
      <c r="C186" s="2">
        <v>0.5</v>
      </c>
    </row>
    <row r="187" spans="1:3" ht="15.75" customHeight="1" x14ac:dyDescent="0.3">
      <c r="A187" s="1">
        <v>47</v>
      </c>
      <c r="B187" s="1" t="s">
        <v>4</v>
      </c>
      <c r="C187" s="2">
        <v>0.8</v>
      </c>
    </row>
    <row r="188" spans="1:3" ht="15.75" customHeight="1" x14ac:dyDescent="0.3">
      <c r="A188" s="1">
        <v>47</v>
      </c>
      <c r="B188" s="1" t="s">
        <v>5</v>
      </c>
      <c r="C188" s="2">
        <v>1.3</v>
      </c>
    </row>
    <row r="189" spans="1:3" ht="15.75" customHeight="1" x14ac:dyDescent="0.3">
      <c r="A189" s="1">
        <v>47</v>
      </c>
      <c r="B189" s="1" t="s">
        <v>6</v>
      </c>
      <c r="C189" s="2">
        <v>2</v>
      </c>
    </row>
    <row r="190" spans="1:3" ht="15.75" customHeight="1" x14ac:dyDescent="0.3">
      <c r="A190" s="1">
        <v>48</v>
      </c>
      <c r="B190" s="1" t="s">
        <v>3</v>
      </c>
      <c r="C190" s="2">
        <v>0.5</v>
      </c>
    </row>
    <row r="191" spans="1:3" ht="15.75" customHeight="1" x14ac:dyDescent="0.3">
      <c r="A191" s="1">
        <v>48</v>
      </c>
      <c r="B191" s="1" t="s">
        <v>4</v>
      </c>
      <c r="C191" s="2">
        <v>0.8</v>
      </c>
    </row>
    <row r="192" spans="1:3" ht="15.75" customHeight="1" x14ac:dyDescent="0.3">
      <c r="A192" s="1">
        <v>48</v>
      </c>
      <c r="B192" s="1" t="s">
        <v>5</v>
      </c>
      <c r="C192" s="2">
        <v>1.3</v>
      </c>
    </row>
    <row r="193" spans="1:3" ht="15.75" customHeight="1" x14ac:dyDescent="0.3">
      <c r="A193" s="1">
        <v>48</v>
      </c>
      <c r="B193" s="1" t="s">
        <v>6</v>
      </c>
      <c r="C193" s="2">
        <v>2</v>
      </c>
    </row>
    <row r="194" spans="1:3" ht="15.75" customHeight="1" x14ac:dyDescent="0.3">
      <c r="A194" s="1">
        <v>49</v>
      </c>
      <c r="B194" s="1" t="s">
        <v>3</v>
      </c>
      <c r="C194" s="2">
        <v>0.5</v>
      </c>
    </row>
    <row r="195" spans="1:3" ht="15.75" customHeight="1" x14ac:dyDescent="0.3">
      <c r="A195" s="1">
        <v>49</v>
      </c>
      <c r="B195" s="1" t="s">
        <v>4</v>
      </c>
      <c r="C195" s="2">
        <v>0.8</v>
      </c>
    </row>
    <row r="196" spans="1:3" ht="15.75" customHeight="1" x14ac:dyDescent="0.3">
      <c r="A196" s="1">
        <v>49</v>
      </c>
      <c r="B196" s="1" t="s">
        <v>5</v>
      </c>
      <c r="C196" s="2">
        <v>1.3</v>
      </c>
    </row>
    <row r="197" spans="1:3" ht="15.75" customHeight="1" x14ac:dyDescent="0.3">
      <c r="A197" s="1">
        <v>49</v>
      </c>
      <c r="B197" s="1" t="s">
        <v>6</v>
      </c>
      <c r="C197" s="2">
        <v>2</v>
      </c>
    </row>
    <row r="198" spans="1:3" ht="15.75" customHeight="1" x14ac:dyDescent="0.3">
      <c r="A198" s="1">
        <v>50</v>
      </c>
      <c r="B198" s="1" t="s">
        <v>3</v>
      </c>
      <c r="C198" s="2">
        <v>0.5</v>
      </c>
    </row>
    <row r="199" spans="1:3" ht="15.75" customHeight="1" x14ac:dyDescent="0.3">
      <c r="A199" s="1">
        <v>50</v>
      </c>
      <c r="B199" s="1" t="s">
        <v>4</v>
      </c>
      <c r="C199" s="2">
        <v>0.8</v>
      </c>
    </row>
    <row r="200" spans="1:3" ht="15.75" customHeight="1" x14ac:dyDescent="0.3">
      <c r="A200" s="1">
        <v>50</v>
      </c>
      <c r="B200" s="1" t="s">
        <v>5</v>
      </c>
      <c r="C200" s="2">
        <v>1.3</v>
      </c>
    </row>
    <row r="201" spans="1:3" ht="15.75" customHeight="1" x14ac:dyDescent="0.3">
      <c r="A201" s="1">
        <v>50</v>
      </c>
      <c r="B201" s="1" t="s">
        <v>6</v>
      </c>
      <c r="C201" s="2">
        <v>2</v>
      </c>
    </row>
    <row r="202" spans="1:3" ht="15.75" customHeight="1" x14ac:dyDescent="0.3">
      <c r="A202" s="1">
        <v>51</v>
      </c>
      <c r="B202" s="1" t="s">
        <v>3</v>
      </c>
      <c r="C202" s="2">
        <v>0.5</v>
      </c>
    </row>
    <row r="203" spans="1:3" ht="15.75" customHeight="1" x14ac:dyDescent="0.3">
      <c r="A203" s="1">
        <v>51</v>
      </c>
      <c r="B203" s="1" t="s">
        <v>4</v>
      </c>
      <c r="C203" s="2">
        <v>0.8</v>
      </c>
    </row>
    <row r="204" spans="1:3" ht="15.75" customHeight="1" x14ac:dyDescent="0.3">
      <c r="A204" s="1">
        <v>51</v>
      </c>
      <c r="B204" s="1" t="s">
        <v>5</v>
      </c>
      <c r="C204" s="2">
        <v>1.3</v>
      </c>
    </row>
    <row r="205" spans="1:3" ht="15.75" customHeight="1" x14ac:dyDescent="0.3">
      <c r="A205" s="1">
        <v>51</v>
      </c>
      <c r="B205" s="1" t="s">
        <v>6</v>
      </c>
      <c r="C205" s="2">
        <v>2</v>
      </c>
    </row>
    <row r="206" spans="1:3" ht="15.75" customHeight="1" x14ac:dyDescent="0.3">
      <c r="A206" s="1">
        <v>52</v>
      </c>
      <c r="B206" s="1" t="s">
        <v>3</v>
      </c>
      <c r="C206" s="2">
        <v>0.5</v>
      </c>
    </row>
    <row r="207" spans="1:3" ht="15.75" customHeight="1" x14ac:dyDescent="0.3">
      <c r="A207" s="1">
        <v>52</v>
      </c>
      <c r="B207" s="1" t="s">
        <v>4</v>
      </c>
      <c r="C207" s="2">
        <v>0.8</v>
      </c>
    </row>
    <row r="208" spans="1:3" ht="15.75" customHeight="1" x14ac:dyDescent="0.3">
      <c r="A208" s="1">
        <v>52</v>
      </c>
      <c r="B208" s="1" t="s">
        <v>5</v>
      </c>
      <c r="C208" s="2">
        <v>1.3</v>
      </c>
    </row>
    <row r="209" spans="1:3" ht="15.75" customHeight="1" x14ac:dyDescent="0.3">
      <c r="A209" s="1">
        <v>52</v>
      </c>
      <c r="B209" s="1" t="s">
        <v>6</v>
      </c>
      <c r="C209" s="2">
        <v>2</v>
      </c>
    </row>
    <row r="210" spans="1:3" ht="15.75" customHeight="1" x14ac:dyDescent="0.3">
      <c r="A210" s="1">
        <v>53</v>
      </c>
      <c r="B210" s="1" t="s">
        <v>3</v>
      </c>
      <c r="C210" s="2">
        <v>0.5</v>
      </c>
    </row>
    <row r="211" spans="1:3" ht="15.75" customHeight="1" x14ac:dyDescent="0.3">
      <c r="A211" s="1">
        <v>53</v>
      </c>
      <c r="B211" s="1" t="s">
        <v>4</v>
      </c>
      <c r="C211" s="2">
        <v>0.8</v>
      </c>
    </row>
    <row r="212" spans="1:3" ht="15.75" customHeight="1" x14ac:dyDescent="0.3">
      <c r="A212" s="1">
        <v>53</v>
      </c>
      <c r="B212" s="1" t="s">
        <v>5</v>
      </c>
      <c r="C212" s="2">
        <v>1.3</v>
      </c>
    </row>
    <row r="213" spans="1:3" ht="15.75" customHeight="1" x14ac:dyDescent="0.3">
      <c r="A213" s="1">
        <v>53</v>
      </c>
      <c r="B213" s="1" t="s">
        <v>6</v>
      </c>
      <c r="C213" s="2">
        <v>2</v>
      </c>
    </row>
    <row r="214" spans="1:3" ht="15.75" customHeight="1" x14ac:dyDescent="0.3">
      <c r="A214" s="1">
        <v>54</v>
      </c>
      <c r="B214" s="1" t="s">
        <v>3</v>
      </c>
      <c r="C214" s="2">
        <v>0.5</v>
      </c>
    </row>
    <row r="215" spans="1:3" ht="15.75" customHeight="1" x14ac:dyDescent="0.3">
      <c r="A215" s="1">
        <v>54</v>
      </c>
      <c r="B215" s="1" t="s">
        <v>4</v>
      </c>
      <c r="C215" s="2">
        <v>0.8</v>
      </c>
    </row>
    <row r="216" spans="1:3" ht="15.75" customHeight="1" x14ac:dyDescent="0.3">
      <c r="A216" s="1">
        <v>54</v>
      </c>
      <c r="B216" s="1" t="s">
        <v>5</v>
      </c>
      <c r="C216" s="2">
        <v>1.3</v>
      </c>
    </row>
    <row r="217" spans="1:3" ht="15.75" customHeight="1" x14ac:dyDescent="0.3">
      <c r="A217" s="1">
        <v>54</v>
      </c>
      <c r="B217" s="1" t="s">
        <v>6</v>
      </c>
      <c r="C217" s="2">
        <v>2</v>
      </c>
    </row>
    <row r="218" spans="1:3" ht="15.75" customHeight="1" x14ac:dyDescent="0.3">
      <c r="A218" s="1">
        <v>55</v>
      </c>
      <c r="B218" s="1" t="s">
        <v>3</v>
      </c>
      <c r="C218" s="2">
        <v>0.5</v>
      </c>
    </row>
    <row r="219" spans="1:3" ht="15.75" customHeight="1" x14ac:dyDescent="0.3">
      <c r="A219" s="1">
        <v>55</v>
      </c>
      <c r="B219" s="1" t="s">
        <v>4</v>
      </c>
      <c r="C219" s="2">
        <v>0.8</v>
      </c>
    </row>
    <row r="220" spans="1:3" ht="15.75" customHeight="1" x14ac:dyDescent="0.3">
      <c r="A220" s="1">
        <v>55</v>
      </c>
      <c r="B220" s="1" t="s">
        <v>5</v>
      </c>
      <c r="C220" s="2">
        <v>1.3</v>
      </c>
    </row>
    <row r="221" spans="1:3" ht="15.75" customHeight="1" x14ac:dyDescent="0.3">
      <c r="A221" s="1">
        <v>55</v>
      </c>
      <c r="B221" s="1" t="s">
        <v>6</v>
      </c>
      <c r="C221" s="2">
        <v>2</v>
      </c>
    </row>
    <row r="222" spans="1:3" ht="15.75" customHeight="1" x14ac:dyDescent="0.3">
      <c r="A222" s="1">
        <v>56</v>
      </c>
      <c r="B222" s="1" t="s">
        <v>3</v>
      </c>
      <c r="C222" s="2">
        <v>0.5</v>
      </c>
    </row>
    <row r="223" spans="1:3" ht="15.75" customHeight="1" x14ac:dyDescent="0.3">
      <c r="A223" s="1">
        <v>56</v>
      </c>
      <c r="B223" s="1" t="s">
        <v>4</v>
      </c>
      <c r="C223" s="2">
        <v>0.8</v>
      </c>
    </row>
    <row r="224" spans="1:3" ht="15.75" customHeight="1" x14ac:dyDescent="0.3">
      <c r="A224" s="1">
        <v>56</v>
      </c>
      <c r="B224" s="1" t="s">
        <v>5</v>
      </c>
      <c r="C224" s="2">
        <v>1.3</v>
      </c>
    </row>
    <row r="225" spans="1:3" ht="15.75" customHeight="1" x14ac:dyDescent="0.3">
      <c r="A225" s="1">
        <v>56</v>
      </c>
      <c r="B225" s="1" t="s">
        <v>6</v>
      </c>
      <c r="C225" s="2">
        <v>2</v>
      </c>
    </row>
    <row r="226" spans="1:3" ht="15.75" customHeight="1" x14ac:dyDescent="0.3">
      <c r="A226" s="1">
        <v>57</v>
      </c>
      <c r="B226" s="1" t="s">
        <v>3</v>
      </c>
      <c r="C226" s="2">
        <v>0.5</v>
      </c>
    </row>
    <row r="227" spans="1:3" ht="15.75" customHeight="1" x14ac:dyDescent="0.3">
      <c r="A227" s="1">
        <v>57</v>
      </c>
      <c r="B227" s="1" t="s">
        <v>4</v>
      </c>
      <c r="C227" s="2">
        <v>0.8</v>
      </c>
    </row>
    <row r="228" spans="1:3" ht="15.75" customHeight="1" x14ac:dyDescent="0.3">
      <c r="A228" s="1">
        <v>57</v>
      </c>
      <c r="B228" s="1" t="s">
        <v>5</v>
      </c>
      <c r="C228" s="2">
        <v>1.3</v>
      </c>
    </row>
    <row r="229" spans="1:3" ht="15.75" customHeight="1" x14ac:dyDescent="0.3">
      <c r="A229" s="1">
        <v>57</v>
      </c>
      <c r="B229" s="1" t="s">
        <v>6</v>
      </c>
      <c r="C229" s="2">
        <v>2</v>
      </c>
    </row>
    <row r="230" spans="1:3" ht="15.75" customHeight="1" x14ac:dyDescent="0.3">
      <c r="A230" s="1">
        <v>58</v>
      </c>
      <c r="B230" s="1" t="s">
        <v>3</v>
      </c>
      <c r="C230" s="2">
        <v>0.5</v>
      </c>
    </row>
    <row r="231" spans="1:3" ht="15.75" customHeight="1" x14ac:dyDescent="0.3">
      <c r="A231" s="1">
        <v>58</v>
      </c>
      <c r="B231" s="1" t="s">
        <v>4</v>
      </c>
      <c r="C231" s="2">
        <v>0.8</v>
      </c>
    </row>
    <row r="232" spans="1:3" ht="15.75" customHeight="1" x14ac:dyDescent="0.3">
      <c r="A232" s="1">
        <v>58</v>
      </c>
      <c r="B232" s="1" t="s">
        <v>5</v>
      </c>
      <c r="C232" s="2">
        <v>1.3</v>
      </c>
    </row>
    <row r="233" spans="1:3" ht="15.75" customHeight="1" x14ac:dyDescent="0.3">
      <c r="A233" s="1">
        <v>58</v>
      </c>
      <c r="B233" s="1" t="s">
        <v>6</v>
      </c>
      <c r="C233" s="2">
        <v>2</v>
      </c>
    </row>
    <row r="234" spans="1:3" ht="15.75" customHeight="1" x14ac:dyDescent="0.3">
      <c r="A234" s="1">
        <v>59</v>
      </c>
      <c r="B234" s="1" t="s">
        <v>3</v>
      </c>
      <c r="C234" s="2">
        <v>0.5</v>
      </c>
    </row>
    <row r="235" spans="1:3" ht="15.75" customHeight="1" x14ac:dyDescent="0.3">
      <c r="A235" s="1">
        <v>59</v>
      </c>
      <c r="B235" s="1" t="s">
        <v>4</v>
      </c>
      <c r="C235" s="2">
        <v>0.8</v>
      </c>
    </row>
    <row r="236" spans="1:3" ht="15.75" customHeight="1" x14ac:dyDescent="0.3">
      <c r="A236" s="1">
        <v>59</v>
      </c>
      <c r="B236" s="1" t="s">
        <v>5</v>
      </c>
      <c r="C236" s="2">
        <v>1.3</v>
      </c>
    </row>
    <row r="237" spans="1:3" ht="15.75" customHeight="1" x14ac:dyDescent="0.3">
      <c r="A237" s="1">
        <v>59</v>
      </c>
      <c r="B237" s="1" t="s">
        <v>6</v>
      </c>
      <c r="C237" s="2">
        <v>2</v>
      </c>
    </row>
    <row r="238" spans="1:3" ht="15.75" customHeight="1" x14ac:dyDescent="0.3">
      <c r="A238" s="1">
        <v>60</v>
      </c>
      <c r="B238" s="1" t="s">
        <v>3</v>
      </c>
      <c r="C238" s="2">
        <v>0.5</v>
      </c>
    </row>
    <row r="239" spans="1:3" ht="15.75" customHeight="1" x14ac:dyDescent="0.3">
      <c r="A239" s="1">
        <v>60</v>
      </c>
      <c r="B239" s="1" t="s">
        <v>4</v>
      </c>
      <c r="C239" s="2">
        <v>0.8</v>
      </c>
    </row>
    <row r="240" spans="1:3" ht="15.75" customHeight="1" x14ac:dyDescent="0.3">
      <c r="A240" s="1">
        <v>60</v>
      </c>
      <c r="B240" s="1" t="s">
        <v>5</v>
      </c>
      <c r="C240" s="2">
        <v>1.3</v>
      </c>
    </row>
    <row r="241" spans="1:3" ht="15.75" customHeight="1" x14ac:dyDescent="0.3">
      <c r="A241" s="1">
        <v>60</v>
      </c>
      <c r="B241" s="1" t="s">
        <v>6</v>
      </c>
      <c r="C241" s="2">
        <v>2</v>
      </c>
    </row>
    <row r="242" spans="1:3" ht="15.75" customHeight="1" x14ac:dyDescent="0.3">
      <c r="A242" s="1">
        <v>61</v>
      </c>
      <c r="B242" s="1" t="s">
        <v>3</v>
      </c>
      <c r="C242" s="2">
        <v>0.5</v>
      </c>
    </row>
    <row r="243" spans="1:3" ht="15.75" customHeight="1" x14ac:dyDescent="0.3">
      <c r="A243" s="1">
        <v>61</v>
      </c>
      <c r="B243" s="1" t="s">
        <v>4</v>
      </c>
      <c r="C243" s="2">
        <v>0.8</v>
      </c>
    </row>
    <row r="244" spans="1:3" ht="15.75" customHeight="1" x14ac:dyDescent="0.3">
      <c r="A244" s="1">
        <v>61</v>
      </c>
      <c r="B244" s="1" t="s">
        <v>5</v>
      </c>
      <c r="C244" s="2">
        <v>1.3</v>
      </c>
    </row>
    <row r="245" spans="1:3" ht="15.75" customHeight="1" x14ac:dyDescent="0.3">
      <c r="A245" s="1">
        <v>61</v>
      </c>
      <c r="B245" s="1" t="s">
        <v>6</v>
      </c>
      <c r="C245" s="2">
        <v>2</v>
      </c>
    </row>
    <row r="246" spans="1:3" ht="15.75" customHeight="1" x14ac:dyDescent="0.3">
      <c r="A246" s="1">
        <v>62</v>
      </c>
      <c r="B246" s="1" t="s">
        <v>3</v>
      </c>
      <c r="C246" s="2">
        <v>0.5</v>
      </c>
    </row>
    <row r="247" spans="1:3" ht="15.75" customHeight="1" x14ac:dyDescent="0.3">
      <c r="A247" s="1">
        <v>62</v>
      </c>
      <c r="B247" s="1" t="s">
        <v>4</v>
      </c>
      <c r="C247" s="2">
        <v>0.8</v>
      </c>
    </row>
    <row r="248" spans="1:3" ht="15.75" customHeight="1" x14ac:dyDescent="0.3">
      <c r="A248" s="1">
        <v>62</v>
      </c>
      <c r="B248" s="1" t="s">
        <v>5</v>
      </c>
      <c r="C248" s="2">
        <v>1.3</v>
      </c>
    </row>
    <row r="249" spans="1:3" ht="15.75" customHeight="1" x14ac:dyDescent="0.3">
      <c r="A249" s="1">
        <v>62</v>
      </c>
      <c r="B249" s="1" t="s">
        <v>6</v>
      </c>
      <c r="C249" s="2">
        <v>2</v>
      </c>
    </row>
    <row r="250" spans="1:3" ht="15.75" customHeight="1" x14ac:dyDescent="0.3">
      <c r="A250" s="1">
        <v>63</v>
      </c>
      <c r="B250" s="1" t="s">
        <v>3</v>
      </c>
      <c r="C250" s="2">
        <v>0.5</v>
      </c>
    </row>
    <row r="251" spans="1:3" ht="15.75" customHeight="1" x14ac:dyDescent="0.3">
      <c r="A251" s="1">
        <v>63</v>
      </c>
      <c r="B251" s="1" t="s">
        <v>4</v>
      </c>
      <c r="C251" s="2">
        <v>0.8</v>
      </c>
    </row>
    <row r="252" spans="1:3" ht="15.75" customHeight="1" x14ac:dyDescent="0.3">
      <c r="A252" s="1">
        <v>63</v>
      </c>
      <c r="B252" s="1" t="s">
        <v>5</v>
      </c>
      <c r="C252" s="2">
        <v>1.3</v>
      </c>
    </row>
    <row r="253" spans="1:3" ht="15.75" customHeight="1" x14ac:dyDescent="0.3">
      <c r="A253" s="1">
        <v>63</v>
      </c>
      <c r="B253" s="1" t="s">
        <v>6</v>
      </c>
      <c r="C253" s="2">
        <v>2</v>
      </c>
    </row>
    <row r="254" spans="1:3" ht="15.75" customHeight="1" x14ac:dyDescent="0.3">
      <c r="A254" s="1">
        <v>64</v>
      </c>
      <c r="B254" s="1" t="s">
        <v>3</v>
      </c>
      <c r="C254" s="2">
        <v>0.5</v>
      </c>
    </row>
    <row r="255" spans="1:3" ht="15.75" customHeight="1" x14ac:dyDescent="0.3">
      <c r="A255" s="1">
        <v>64</v>
      </c>
      <c r="B255" s="1" t="s">
        <v>4</v>
      </c>
      <c r="C255" s="2">
        <v>0.8</v>
      </c>
    </row>
    <row r="256" spans="1:3" ht="15.75" customHeight="1" x14ac:dyDescent="0.3">
      <c r="A256" s="1">
        <v>64</v>
      </c>
      <c r="B256" s="1" t="s">
        <v>5</v>
      </c>
      <c r="C256" s="2">
        <v>1.3</v>
      </c>
    </row>
    <row r="257" spans="1:3" ht="15.75" customHeight="1" x14ac:dyDescent="0.3">
      <c r="A257" s="1">
        <v>64</v>
      </c>
      <c r="B257" s="1" t="s">
        <v>6</v>
      </c>
      <c r="C257" s="2">
        <v>2</v>
      </c>
    </row>
    <row r="258" spans="1:3" ht="15.75" customHeight="1" x14ac:dyDescent="0.3">
      <c r="A258" s="1">
        <v>65</v>
      </c>
      <c r="B258" s="1" t="s">
        <v>3</v>
      </c>
      <c r="C258" s="2">
        <v>0.5</v>
      </c>
    </row>
    <row r="259" spans="1:3" ht="15.75" customHeight="1" x14ac:dyDescent="0.3">
      <c r="A259" s="1">
        <v>65</v>
      </c>
      <c r="B259" s="1" t="s">
        <v>4</v>
      </c>
      <c r="C259" s="2">
        <v>0.8</v>
      </c>
    </row>
    <row r="260" spans="1:3" ht="15.75" customHeight="1" x14ac:dyDescent="0.3">
      <c r="A260" s="1">
        <v>65</v>
      </c>
      <c r="B260" s="1" t="s">
        <v>5</v>
      </c>
      <c r="C260" s="2">
        <v>1.3</v>
      </c>
    </row>
    <row r="261" spans="1:3" ht="15.75" customHeight="1" x14ac:dyDescent="0.3">
      <c r="A261" s="1">
        <v>65</v>
      </c>
      <c r="B261" s="1" t="s">
        <v>6</v>
      </c>
      <c r="C261" s="2">
        <v>2</v>
      </c>
    </row>
    <row r="262" spans="1:3" ht="15.75" customHeight="1" x14ac:dyDescent="0.3">
      <c r="A262" s="1">
        <v>66</v>
      </c>
      <c r="B262" s="1" t="s">
        <v>3</v>
      </c>
      <c r="C262" s="2">
        <v>0.5</v>
      </c>
    </row>
    <row r="263" spans="1:3" ht="15.75" customHeight="1" x14ac:dyDescent="0.3">
      <c r="A263" s="1">
        <v>66</v>
      </c>
      <c r="B263" s="1" t="s">
        <v>4</v>
      </c>
      <c r="C263" s="2">
        <v>0.8</v>
      </c>
    </row>
    <row r="264" spans="1:3" ht="15.75" customHeight="1" x14ac:dyDescent="0.3">
      <c r="A264" s="1">
        <v>66</v>
      </c>
      <c r="B264" s="1" t="s">
        <v>5</v>
      </c>
      <c r="C264" s="2">
        <v>1.3</v>
      </c>
    </row>
    <row r="265" spans="1:3" ht="15.75" customHeight="1" x14ac:dyDescent="0.3">
      <c r="A265" s="1">
        <v>66</v>
      </c>
      <c r="B265" s="1" t="s">
        <v>6</v>
      </c>
      <c r="C265" s="2">
        <v>2</v>
      </c>
    </row>
    <row r="266" spans="1:3" ht="15.75" customHeight="1" x14ac:dyDescent="0.3">
      <c r="A266" s="1">
        <v>67</v>
      </c>
      <c r="B266" s="1" t="s">
        <v>3</v>
      </c>
      <c r="C266" s="2">
        <v>0.5</v>
      </c>
    </row>
    <row r="267" spans="1:3" ht="15.75" customHeight="1" x14ac:dyDescent="0.3">
      <c r="A267" s="1">
        <v>67</v>
      </c>
      <c r="B267" s="1" t="s">
        <v>4</v>
      </c>
      <c r="C267" s="2">
        <v>0.8</v>
      </c>
    </row>
    <row r="268" spans="1:3" ht="15.75" customHeight="1" x14ac:dyDescent="0.3">
      <c r="A268" s="1">
        <v>67</v>
      </c>
      <c r="B268" s="1" t="s">
        <v>5</v>
      </c>
      <c r="C268" s="2">
        <v>1.3</v>
      </c>
    </row>
    <row r="269" spans="1:3" ht="15.75" customHeight="1" x14ac:dyDescent="0.3">
      <c r="A269" s="1">
        <v>67</v>
      </c>
      <c r="B269" s="1" t="s">
        <v>6</v>
      </c>
      <c r="C269" s="2">
        <v>2</v>
      </c>
    </row>
    <row r="270" spans="1:3" ht="15.75" customHeight="1" x14ac:dyDescent="0.3">
      <c r="A270" s="1">
        <v>68</v>
      </c>
      <c r="B270" s="1" t="s">
        <v>3</v>
      </c>
      <c r="C270" s="2">
        <v>0.5</v>
      </c>
    </row>
    <row r="271" spans="1:3" ht="15.75" customHeight="1" x14ac:dyDescent="0.3">
      <c r="A271" s="1">
        <v>68</v>
      </c>
      <c r="B271" s="1" t="s">
        <v>4</v>
      </c>
      <c r="C271" s="2">
        <v>0.8</v>
      </c>
    </row>
    <row r="272" spans="1:3" ht="15.75" customHeight="1" x14ac:dyDescent="0.3">
      <c r="A272" s="1">
        <v>68</v>
      </c>
      <c r="B272" s="1" t="s">
        <v>5</v>
      </c>
      <c r="C272" s="2">
        <v>1.3</v>
      </c>
    </row>
    <row r="273" spans="1:3" ht="15.75" customHeight="1" x14ac:dyDescent="0.3">
      <c r="A273" s="1">
        <v>68</v>
      </c>
      <c r="B273" s="1" t="s">
        <v>6</v>
      </c>
      <c r="C273" s="2">
        <v>2</v>
      </c>
    </row>
    <row r="274" spans="1:3" ht="15.75" customHeight="1" x14ac:dyDescent="0.3">
      <c r="A274" s="1">
        <v>69</v>
      </c>
      <c r="B274" s="1" t="s">
        <v>3</v>
      </c>
      <c r="C274" s="2">
        <v>0.5</v>
      </c>
    </row>
    <row r="275" spans="1:3" ht="15.75" customHeight="1" x14ac:dyDescent="0.3">
      <c r="A275" s="1">
        <v>69</v>
      </c>
      <c r="B275" s="1" t="s">
        <v>4</v>
      </c>
      <c r="C275" s="2">
        <v>0.8</v>
      </c>
    </row>
    <row r="276" spans="1:3" ht="15.75" customHeight="1" x14ac:dyDescent="0.3">
      <c r="A276" s="1">
        <v>69</v>
      </c>
      <c r="B276" s="1" t="s">
        <v>5</v>
      </c>
      <c r="C276" s="2">
        <v>1.3</v>
      </c>
    </row>
    <row r="277" spans="1:3" ht="15.75" customHeight="1" x14ac:dyDescent="0.3">
      <c r="A277" s="1">
        <v>69</v>
      </c>
      <c r="B277" s="1" t="s">
        <v>6</v>
      </c>
      <c r="C277" s="2">
        <v>2</v>
      </c>
    </row>
    <row r="278" spans="1:3" ht="15.75" customHeight="1" x14ac:dyDescent="0.3">
      <c r="A278" s="1">
        <v>70</v>
      </c>
      <c r="B278" s="1" t="s">
        <v>3</v>
      </c>
      <c r="C278" s="2">
        <v>0.5</v>
      </c>
    </row>
    <row r="279" spans="1:3" ht="15.75" customHeight="1" x14ac:dyDescent="0.3">
      <c r="A279" s="1">
        <v>70</v>
      </c>
      <c r="B279" s="1" t="s">
        <v>4</v>
      </c>
      <c r="C279" s="2">
        <v>0.8</v>
      </c>
    </row>
    <row r="280" spans="1:3" ht="15.75" customHeight="1" x14ac:dyDescent="0.3">
      <c r="A280" s="1">
        <v>70</v>
      </c>
      <c r="B280" s="1" t="s">
        <v>5</v>
      </c>
      <c r="C280" s="2">
        <v>1.3</v>
      </c>
    </row>
    <row r="281" spans="1:3" ht="15.75" customHeight="1" x14ac:dyDescent="0.3">
      <c r="A281" s="1">
        <v>70</v>
      </c>
      <c r="B281" s="1" t="s">
        <v>6</v>
      </c>
      <c r="C281" s="2">
        <v>2</v>
      </c>
    </row>
    <row r="282" spans="1:3" ht="15.75" customHeight="1" x14ac:dyDescent="0.3">
      <c r="A282" s="1">
        <v>71</v>
      </c>
      <c r="B282" s="1" t="s">
        <v>3</v>
      </c>
      <c r="C282" s="2">
        <v>0.5</v>
      </c>
    </row>
    <row r="283" spans="1:3" ht="15.75" customHeight="1" x14ac:dyDescent="0.3">
      <c r="A283" s="1">
        <v>71</v>
      </c>
      <c r="B283" s="1" t="s">
        <v>4</v>
      </c>
      <c r="C283" s="2">
        <v>0.8</v>
      </c>
    </row>
    <row r="284" spans="1:3" ht="15.75" customHeight="1" x14ac:dyDescent="0.3">
      <c r="A284" s="1">
        <v>71</v>
      </c>
      <c r="B284" s="1" t="s">
        <v>5</v>
      </c>
      <c r="C284" s="2">
        <v>1.3</v>
      </c>
    </row>
    <row r="285" spans="1:3" ht="15.75" customHeight="1" x14ac:dyDescent="0.3">
      <c r="A285" s="1">
        <v>71</v>
      </c>
      <c r="B285" s="1" t="s">
        <v>6</v>
      </c>
      <c r="C285" s="2">
        <v>2</v>
      </c>
    </row>
    <row r="286" spans="1:3" ht="15.75" customHeight="1" x14ac:dyDescent="0.3">
      <c r="A286" s="1">
        <v>72</v>
      </c>
      <c r="B286" s="1" t="s">
        <v>3</v>
      </c>
      <c r="C286" s="2">
        <v>0.5</v>
      </c>
    </row>
    <row r="287" spans="1:3" ht="15.75" customHeight="1" x14ac:dyDescent="0.3">
      <c r="A287" s="1">
        <v>72</v>
      </c>
      <c r="B287" s="1" t="s">
        <v>4</v>
      </c>
      <c r="C287" s="2">
        <v>0.8</v>
      </c>
    </row>
    <row r="288" spans="1:3" ht="15.75" customHeight="1" x14ac:dyDescent="0.3">
      <c r="A288" s="1">
        <v>72</v>
      </c>
      <c r="B288" s="1" t="s">
        <v>5</v>
      </c>
      <c r="C288" s="2">
        <v>1.3</v>
      </c>
    </row>
    <row r="289" spans="1:3" ht="15.75" customHeight="1" x14ac:dyDescent="0.3">
      <c r="A289" s="1">
        <v>72</v>
      </c>
      <c r="B289" s="1" t="s">
        <v>6</v>
      </c>
      <c r="C289" s="2">
        <v>2</v>
      </c>
    </row>
    <row r="290" spans="1:3" ht="15.75" customHeight="1" x14ac:dyDescent="0.3">
      <c r="A290" s="1">
        <v>73</v>
      </c>
      <c r="B290" s="1" t="s">
        <v>3</v>
      </c>
      <c r="C290" s="2">
        <v>0.5</v>
      </c>
    </row>
    <row r="291" spans="1:3" ht="15.75" customHeight="1" x14ac:dyDescent="0.3">
      <c r="A291" s="1">
        <v>73</v>
      </c>
      <c r="B291" s="1" t="s">
        <v>4</v>
      </c>
      <c r="C291" s="2">
        <v>0.8</v>
      </c>
    </row>
    <row r="292" spans="1:3" ht="15.75" customHeight="1" x14ac:dyDescent="0.3">
      <c r="A292" s="1">
        <v>73</v>
      </c>
      <c r="B292" s="1" t="s">
        <v>5</v>
      </c>
      <c r="C292" s="2">
        <v>1.3</v>
      </c>
    </row>
    <row r="293" spans="1:3" ht="15.75" customHeight="1" x14ac:dyDescent="0.3">
      <c r="A293" s="1">
        <v>73</v>
      </c>
      <c r="B293" s="1" t="s">
        <v>6</v>
      </c>
      <c r="C293" s="2">
        <v>2</v>
      </c>
    </row>
    <row r="294" spans="1:3" ht="15.75" customHeight="1" x14ac:dyDescent="0.3">
      <c r="A294" s="1">
        <v>74</v>
      </c>
      <c r="B294" s="1" t="s">
        <v>3</v>
      </c>
      <c r="C294" s="2">
        <v>0.5</v>
      </c>
    </row>
    <row r="295" spans="1:3" ht="15.75" customHeight="1" x14ac:dyDescent="0.3">
      <c r="A295" s="1">
        <v>74</v>
      </c>
      <c r="B295" s="1" t="s">
        <v>4</v>
      </c>
      <c r="C295" s="2">
        <v>0.8</v>
      </c>
    </row>
    <row r="296" spans="1:3" ht="15.75" customHeight="1" x14ac:dyDescent="0.3">
      <c r="A296" s="1">
        <v>74</v>
      </c>
      <c r="B296" s="1" t="s">
        <v>5</v>
      </c>
      <c r="C296" s="2">
        <v>1.3</v>
      </c>
    </row>
    <row r="297" spans="1:3" ht="15.75" customHeight="1" x14ac:dyDescent="0.3">
      <c r="A297" s="1">
        <v>74</v>
      </c>
      <c r="B297" s="1" t="s">
        <v>6</v>
      </c>
      <c r="C297" s="2">
        <v>2</v>
      </c>
    </row>
    <row r="298" spans="1:3" ht="15.75" customHeight="1" x14ac:dyDescent="0.3">
      <c r="A298" s="1">
        <v>75</v>
      </c>
      <c r="B298" s="1" t="s">
        <v>3</v>
      </c>
      <c r="C298" s="2">
        <v>0.5</v>
      </c>
    </row>
    <row r="299" spans="1:3" ht="15.75" customHeight="1" x14ac:dyDescent="0.3">
      <c r="A299" s="1">
        <v>75</v>
      </c>
      <c r="B299" s="1" t="s">
        <v>4</v>
      </c>
      <c r="C299" s="2">
        <v>0.8</v>
      </c>
    </row>
    <row r="300" spans="1:3" ht="15.75" customHeight="1" x14ac:dyDescent="0.3">
      <c r="A300" s="1">
        <v>75</v>
      </c>
      <c r="B300" s="1" t="s">
        <v>5</v>
      </c>
      <c r="C300" s="2">
        <v>1.3</v>
      </c>
    </row>
    <row r="301" spans="1:3" ht="15.75" customHeight="1" x14ac:dyDescent="0.3">
      <c r="A301" s="1">
        <v>75</v>
      </c>
      <c r="B301" s="1" t="s">
        <v>6</v>
      </c>
      <c r="C301" s="2">
        <v>2</v>
      </c>
    </row>
    <row r="302" spans="1:3" ht="15.75" customHeight="1" x14ac:dyDescent="0.3">
      <c r="A302" s="1">
        <v>76</v>
      </c>
      <c r="B302" s="1" t="s">
        <v>3</v>
      </c>
      <c r="C302" s="2">
        <v>0.5</v>
      </c>
    </row>
    <row r="303" spans="1:3" ht="15.75" customHeight="1" x14ac:dyDescent="0.3">
      <c r="A303" s="1">
        <v>76</v>
      </c>
      <c r="B303" s="1" t="s">
        <v>4</v>
      </c>
      <c r="C303" s="2">
        <v>0.8</v>
      </c>
    </row>
    <row r="304" spans="1:3" ht="15.75" customHeight="1" x14ac:dyDescent="0.3">
      <c r="A304" s="1">
        <v>76</v>
      </c>
      <c r="B304" s="1" t="s">
        <v>5</v>
      </c>
      <c r="C304" s="2">
        <v>1.3</v>
      </c>
    </row>
    <row r="305" spans="1:3" ht="15.75" customHeight="1" x14ac:dyDescent="0.3">
      <c r="A305" s="1">
        <v>76</v>
      </c>
      <c r="B305" s="1" t="s">
        <v>6</v>
      </c>
      <c r="C305" s="2">
        <v>2</v>
      </c>
    </row>
    <row r="306" spans="1:3" ht="15.75" customHeight="1" x14ac:dyDescent="0.3">
      <c r="A306" s="1">
        <v>77</v>
      </c>
      <c r="B306" s="1" t="s">
        <v>3</v>
      </c>
      <c r="C306" s="2">
        <v>0.5</v>
      </c>
    </row>
    <row r="307" spans="1:3" ht="15.75" customHeight="1" x14ac:dyDescent="0.3">
      <c r="A307" s="1">
        <v>77</v>
      </c>
      <c r="B307" s="1" t="s">
        <v>4</v>
      </c>
      <c r="C307" s="2">
        <v>0.8</v>
      </c>
    </row>
    <row r="308" spans="1:3" ht="15.75" customHeight="1" x14ac:dyDescent="0.3">
      <c r="A308" s="1">
        <v>77</v>
      </c>
      <c r="B308" s="1" t="s">
        <v>5</v>
      </c>
      <c r="C308" s="2">
        <v>1.3</v>
      </c>
    </row>
    <row r="309" spans="1:3" ht="15.75" customHeight="1" x14ac:dyDescent="0.3">
      <c r="A309" s="1">
        <v>77</v>
      </c>
      <c r="B309" s="1" t="s">
        <v>6</v>
      </c>
      <c r="C309" s="2">
        <v>2</v>
      </c>
    </row>
    <row r="310" spans="1:3" ht="15.75" customHeight="1" x14ac:dyDescent="0.3">
      <c r="A310" s="1">
        <v>78</v>
      </c>
      <c r="B310" s="1" t="s">
        <v>3</v>
      </c>
      <c r="C310" s="2">
        <v>0.5</v>
      </c>
    </row>
    <row r="311" spans="1:3" ht="15.75" customHeight="1" x14ac:dyDescent="0.3">
      <c r="A311" s="1">
        <v>78</v>
      </c>
      <c r="B311" s="1" t="s">
        <v>4</v>
      </c>
      <c r="C311" s="2">
        <v>0.8</v>
      </c>
    </row>
    <row r="312" spans="1:3" ht="15.75" customHeight="1" x14ac:dyDescent="0.3">
      <c r="A312" s="1">
        <v>78</v>
      </c>
      <c r="B312" s="1" t="s">
        <v>5</v>
      </c>
      <c r="C312" s="2">
        <v>1.3</v>
      </c>
    </row>
    <row r="313" spans="1:3" ht="15.75" customHeight="1" x14ac:dyDescent="0.3">
      <c r="A313" s="1">
        <v>78</v>
      </c>
      <c r="B313" s="1" t="s">
        <v>6</v>
      </c>
      <c r="C313" s="2">
        <v>2</v>
      </c>
    </row>
    <row r="314" spans="1:3" ht="15.75" customHeight="1" x14ac:dyDescent="0.3">
      <c r="A314" s="1">
        <v>79</v>
      </c>
      <c r="B314" s="1" t="s">
        <v>3</v>
      </c>
      <c r="C314" s="2">
        <v>0.5</v>
      </c>
    </row>
    <row r="315" spans="1:3" ht="15.75" customHeight="1" x14ac:dyDescent="0.3">
      <c r="A315" s="1">
        <v>79</v>
      </c>
      <c r="B315" s="1" t="s">
        <v>4</v>
      </c>
      <c r="C315" s="2">
        <v>0.8</v>
      </c>
    </row>
    <row r="316" spans="1:3" ht="15.75" customHeight="1" x14ac:dyDescent="0.3">
      <c r="A316" s="1">
        <v>79</v>
      </c>
      <c r="B316" s="1" t="s">
        <v>5</v>
      </c>
      <c r="C316" s="2">
        <v>1.3</v>
      </c>
    </row>
    <row r="317" spans="1:3" ht="15.75" customHeight="1" x14ac:dyDescent="0.3">
      <c r="A317" s="1">
        <v>79</v>
      </c>
      <c r="B317" s="1" t="s">
        <v>6</v>
      </c>
      <c r="C317" s="2">
        <v>2</v>
      </c>
    </row>
    <row r="318" spans="1:3" ht="15.75" customHeight="1" x14ac:dyDescent="0.3">
      <c r="A318" s="1">
        <v>80</v>
      </c>
      <c r="B318" s="1" t="s">
        <v>3</v>
      </c>
      <c r="C318" s="2">
        <v>0.5</v>
      </c>
    </row>
    <row r="319" spans="1:3" ht="15.75" customHeight="1" x14ac:dyDescent="0.3">
      <c r="A319" s="1">
        <v>80</v>
      </c>
      <c r="B319" s="1" t="s">
        <v>4</v>
      </c>
      <c r="C319" s="2">
        <v>0.8</v>
      </c>
    </row>
    <row r="320" spans="1:3" ht="15.75" customHeight="1" x14ac:dyDescent="0.3">
      <c r="A320" s="1">
        <v>80</v>
      </c>
      <c r="B320" s="1" t="s">
        <v>5</v>
      </c>
      <c r="C320" s="2">
        <v>1.3</v>
      </c>
    </row>
    <row r="321" spans="1:3" ht="15.75" customHeight="1" x14ac:dyDescent="0.3">
      <c r="A321" s="1">
        <v>80</v>
      </c>
      <c r="B321" s="1" t="s">
        <v>6</v>
      </c>
      <c r="C321" s="2">
        <v>2</v>
      </c>
    </row>
    <row r="322" spans="1:3" ht="15.75" customHeight="1" x14ac:dyDescent="0.3">
      <c r="A322" s="1">
        <v>81</v>
      </c>
      <c r="B322" s="1" t="s">
        <v>3</v>
      </c>
      <c r="C322" s="2">
        <v>0.5</v>
      </c>
    </row>
    <row r="323" spans="1:3" ht="15.75" customHeight="1" x14ac:dyDescent="0.3">
      <c r="A323" s="1">
        <v>81</v>
      </c>
      <c r="B323" s="1" t="s">
        <v>4</v>
      </c>
      <c r="C323" s="2">
        <v>0.8</v>
      </c>
    </row>
    <row r="324" spans="1:3" ht="15.75" customHeight="1" x14ac:dyDescent="0.3">
      <c r="A324" s="1">
        <v>81</v>
      </c>
      <c r="B324" s="1" t="s">
        <v>5</v>
      </c>
      <c r="C324" s="2">
        <v>1.3</v>
      </c>
    </row>
    <row r="325" spans="1:3" ht="15.75" customHeight="1" x14ac:dyDescent="0.3">
      <c r="A325" s="1">
        <v>81</v>
      </c>
      <c r="B325" s="1" t="s">
        <v>6</v>
      </c>
      <c r="C325" s="2">
        <v>2</v>
      </c>
    </row>
    <row r="326" spans="1:3" ht="15.75" customHeight="1" x14ac:dyDescent="0.3">
      <c r="A326" s="1">
        <v>82</v>
      </c>
      <c r="B326" s="1" t="s">
        <v>3</v>
      </c>
      <c r="C326" s="2">
        <v>0.5</v>
      </c>
    </row>
    <row r="327" spans="1:3" ht="15.75" customHeight="1" x14ac:dyDescent="0.3">
      <c r="A327" s="1">
        <v>82</v>
      </c>
      <c r="B327" s="1" t="s">
        <v>4</v>
      </c>
      <c r="C327" s="2">
        <v>0.8</v>
      </c>
    </row>
    <row r="328" spans="1:3" ht="15.75" customHeight="1" x14ac:dyDescent="0.3">
      <c r="A328" s="1">
        <v>82</v>
      </c>
      <c r="B328" s="1" t="s">
        <v>5</v>
      </c>
      <c r="C328" s="2">
        <v>1.3</v>
      </c>
    </row>
    <row r="329" spans="1:3" ht="15.75" customHeight="1" x14ac:dyDescent="0.3">
      <c r="A329" s="1">
        <v>82</v>
      </c>
      <c r="B329" s="1" t="s">
        <v>6</v>
      </c>
      <c r="C329" s="2">
        <v>2</v>
      </c>
    </row>
    <row r="330" spans="1:3" ht="15.75" customHeight="1" x14ac:dyDescent="0.3">
      <c r="A330" s="1">
        <v>83</v>
      </c>
      <c r="B330" s="1" t="s">
        <v>3</v>
      </c>
      <c r="C330" s="2">
        <v>0.5</v>
      </c>
    </row>
    <row r="331" spans="1:3" ht="15.75" customHeight="1" x14ac:dyDescent="0.3">
      <c r="A331" s="1">
        <v>83</v>
      </c>
      <c r="B331" s="1" t="s">
        <v>4</v>
      </c>
      <c r="C331" s="2">
        <v>0.8</v>
      </c>
    </row>
    <row r="332" spans="1:3" ht="15.75" customHeight="1" x14ac:dyDescent="0.3">
      <c r="A332" s="1">
        <v>83</v>
      </c>
      <c r="B332" s="1" t="s">
        <v>5</v>
      </c>
      <c r="C332" s="2">
        <v>1.3</v>
      </c>
    </row>
    <row r="333" spans="1:3" ht="15.75" customHeight="1" x14ac:dyDescent="0.3">
      <c r="A333" s="1">
        <v>83</v>
      </c>
      <c r="B333" s="1" t="s">
        <v>6</v>
      </c>
      <c r="C333" s="2">
        <v>2</v>
      </c>
    </row>
    <row r="334" spans="1:3" ht="15.75" customHeight="1" x14ac:dyDescent="0.3">
      <c r="A334" s="1">
        <v>84</v>
      </c>
      <c r="B334" s="1" t="s">
        <v>3</v>
      </c>
      <c r="C334" s="2">
        <v>0.5</v>
      </c>
    </row>
    <row r="335" spans="1:3" ht="15.75" customHeight="1" x14ac:dyDescent="0.3">
      <c r="A335" s="1">
        <v>84</v>
      </c>
      <c r="B335" s="1" t="s">
        <v>4</v>
      </c>
      <c r="C335" s="2">
        <v>0.8</v>
      </c>
    </row>
    <row r="336" spans="1:3" ht="15.75" customHeight="1" x14ac:dyDescent="0.3">
      <c r="A336" s="1">
        <v>84</v>
      </c>
      <c r="B336" s="1" t="s">
        <v>5</v>
      </c>
      <c r="C336" s="2">
        <v>1.3</v>
      </c>
    </row>
    <row r="337" spans="1:3" ht="15.75" customHeight="1" x14ac:dyDescent="0.3">
      <c r="A337" s="1">
        <v>84</v>
      </c>
      <c r="B337" s="1" t="s">
        <v>6</v>
      </c>
      <c r="C337" s="2">
        <v>2</v>
      </c>
    </row>
    <row r="338" spans="1:3" ht="15.75" customHeight="1" x14ac:dyDescent="0.3">
      <c r="A338" s="1">
        <v>85</v>
      </c>
      <c r="B338" s="1" t="s">
        <v>3</v>
      </c>
      <c r="C338" s="2">
        <v>0.5</v>
      </c>
    </row>
    <row r="339" spans="1:3" ht="15.75" customHeight="1" x14ac:dyDescent="0.3">
      <c r="A339" s="1">
        <v>85</v>
      </c>
      <c r="B339" s="1" t="s">
        <v>4</v>
      </c>
      <c r="C339" s="2">
        <v>0.8</v>
      </c>
    </row>
    <row r="340" spans="1:3" ht="15.75" customHeight="1" x14ac:dyDescent="0.3">
      <c r="A340" s="1">
        <v>85</v>
      </c>
      <c r="B340" s="1" t="s">
        <v>5</v>
      </c>
      <c r="C340" s="2">
        <v>1.3</v>
      </c>
    </row>
    <row r="341" spans="1:3" ht="15.75" customHeight="1" x14ac:dyDescent="0.3">
      <c r="A341" s="1">
        <v>85</v>
      </c>
      <c r="B341" s="1" t="s">
        <v>6</v>
      </c>
      <c r="C341" s="2">
        <v>2</v>
      </c>
    </row>
    <row r="342" spans="1:3" ht="15.75" customHeight="1" x14ac:dyDescent="0.3">
      <c r="A342" s="1">
        <v>86</v>
      </c>
      <c r="B342" s="1" t="s">
        <v>3</v>
      </c>
      <c r="C342" s="2">
        <v>0.5</v>
      </c>
    </row>
    <row r="343" spans="1:3" ht="15.75" customHeight="1" x14ac:dyDescent="0.3">
      <c r="A343" s="1">
        <v>86</v>
      </c>
      <c r="B343" s="1" t="s">
        <v>4</v>
      </c>
      <c r="C343" s="2">
        <v>0.8</v>
      </c>
    </row>
    <row r="344" spans="1:3" ht="15.75" customHeight="1" x14ac:dyDescent="0.3">
      <c r="A344" s="1">
        <v>86</v>
      </c>
      <c r="B344" s="1" t="s">
        <v>5</v>
      </c>
      <c r="C344" s="2">
        <v>1.3</v>
      </c>
    </row>
    <row r="345" spans="1:3" ht="15.75" customHeight="1" x14ac:dyDescent="0.3">
      <c r="A345" s="1">
        <v>86</v>
      </c>
      <c r="B345" s="1" t="s">
        <v>6</v>
      </c>
      <c r="C345" s="2">
        <v>2</v>
      </c>
    </row>
    <row r="346" spans="1:3" ht="15.75" customHeight="1" x14ac:dyDescent="0.3">
      <c r="A346" s="1">
        <v>87</v>
      </c>
      <c r="B346" s="1" t="s">
        <v>3</v>
      </c>
      <c r="C346" s="2">
        <v>0.5</v>
      </c>
    </row>
    <row r="347" spans="1:3" ht="15.75" customHeight="1" x14ac:dyDescent="0.3">
      <c r="A347" s="1">
        <v>87</v>
      </c>
      <c r="B347" s="1" t="s">
        <v>4</v>
      </c>
      <c r="C347" s="2">
        <v>0.8</v>
      </c>
    </row>
    <row r="348" spans="1:3" ht="15.75" customHeight="1" x14ac:dyDescent="0.3">
      <c r="A348" s="1">
        <v>87</v>
      </c>
      <c r="B348" s="1" t="s">
        <v>5</v>
      </c>
      <c r="C348" s="2">
        <v>1.3</v>
      </c>
    </row>
    <row r="349" spans="1:3" ht="15.75" customHeight="1" x14ac:dyDescent="0.3">
      <c r="A349" s="1">
        <v>87</v>
      </c>
      <c r="B349" s="1" t="s">
        <v>6</v>
      </c>
      <c r="C349" s="2">
        <v>2</v>
      </c>
    </row>
    <row r="350" spans="1:3" ht="15.75" customHeight="1" x14ac:dyDescent="0.3">
      <c r="A350" s="1">
        <v>88</v>
      </c>
      <c r="B350" s="1" t="s">
        <v>3</v>
      </c>
      <c r="C350" s="2">
        <v>0.5</v>
      </c>
    </row>
    <row r="351" spans="1:3" ht="15.75" customHeight="1" x14ac:dyDescent="0.3">
      <c r="A351" s="1">
        <v>88</v>
      </c>
      <c r="B351" s="1" t="s">
        <v>4</v>
      </c>
      <c r="C351" s="2">
        <v>0.8</v>
      </c>
    </row>
    <row r="352" spans="1:3" ht="15.75" customHeight="1" x14ac:dyDescent="0.3">
      <c r="A352" s="1">
        <v>88</v>
      </c>
      <c r="B352" s="1" t="s">
        <v>5</v>
      </c>
      <c r="C352" s="2">
        <v>1.3</v>
      </c>
    </row>
    <row r="353" spans="1:3" ht="15.75" customHeight="1" x14ac:dyDescent="0.3">
      <c r="A353" s="1">
        <v>88</v>
      </c>
      <c r="B353" s="1" t="s">
        <v>6</v>
      </c>
      <c r="C353" s="2">
        <v>2</v>
      </c>
    </row>
    <row r="354" spans="1:3" ht="15.75" customHeight="1" x14ac:dyDescent="0.3">
      <c r="A354" s="1">
        <v>89</v>
      </c>
      <c r="B354" s="1" t="s">
        <v>3</v>
      </c>
      <c r="C354" s="2">
        <v>0.5</v>
      </c>
    </row>
    <row r="355" spans="1:3" ht="15.75" customHeight="1" x14ac:dyDescent="0.3">
      <c r="A355" s="1">
        <v>89</v>
      </c>
      <c r="B355" s="1" t="s">
        <v>4</v>
      </c>
      <c r="C355" s="2">
        <v>0.8</v>
      </c>
    </row>
    <row r="356" spans="1:3" ht="15.75" customHeight="1" x14ac:dyDescent="0.3">
      <c r="A356" s="1">
        <v>89</v>
      </c>
      <c r="B356" s="1" t="s">
        <v>5</v>
      </c>
      <c r="C356" s="2">
        <v>1.3</v>
      </c>
    </row>
    <row r="357" spans="1:3" ht="15.75" customHeight="1" x14ac:dyDescent="0.3">
      <c r="A357" s="1">
        <v>89</v>
      </c>
      <c r="B357" s="1" t="s">
        <v>6</v>
      </c>
      <c r="C357" s="2">
        <v>2</v>
      </c>
    </row>
    <row r="358" spans="1:3" ht="15.75" customHeight="1" x14ac:dyDescent="0.3">
      <c r="A358" s="1">
        <v>90</v>
      </c>
      <c r="B358" s="1" t="s">
        <v>3</v>
      </c>
      <c r="C358" s="2">
        <v>0.5</v>
      </c>
    </row>
    <row r="359" spans="1:3" ht="15.75" customHeight="1" x14ac:dyDescent="0.3">
      <c r="A359" s="1">
        <v>90</v>
      </c>
      <c r="B359" s="1" t="s">
        <v>4</v>
      </c>
      <c r="C359" s="2">
        <v>0.8</v>
      </c>
    </row>
    <row r="360" spans="1:3" ht="15.75" customHeight="1" x14ac:dyDescent="0.3">
      <c r="A360" s="1">
        <v>90</v>
      </c>
      <c r="B360" s="1" t="s">
        <v>5</v>
      </c>
      <c r="C360" s="2">
        <v>1.3</v>
      </c>
    </row>
    <row r="361" spans="1:3" ht="15.75" customHeight="1" x14ac:dyDescent="0.3">
      <c r="A361" s="1">
        <v>90</v>
      </c>
      <c r="B361" s="1" t="s">
        <v>6</v>
      </c>
      <c r="C361" s="2">
        <v>2</v>
      </c>
    </row>
    <row r="362" spans="1:3" ht="15.75" customHeight="1" x14ac:dyDescent="0.3">
      <c r="A362" s="1">
        <v>91</v>
      </c>
      <c r="B362" s="1" t="s">
        <v>3</v>
      </c>
      <c r="C362" s="2">
        <v>0.5</v>
      </c>
    </row>
    <row r="363" spans="1:3" ht="15.75" customHeight="1" x14ac:dyDescent="0.3">
      <c r="A363" s="1">
        <v>91</v>
      </c>
      <c r="B363" s="1" t="s">
        <v>4</v>
      </c>
      <c r="C363" s="2">
        <v>0.8</v>
      </c>
    </row>
    <row r="364" spans="1:3" ht="15.75" customHeight="1" x14ac:dyDescent="0.3">
      <c r="A364" s="1">
        <v>91</v>
      </c>
      <c r="B364" s="1" t="s">
        <v>5</v>
      </c>
      <c r="C364" s="2">
        <v>1.3</v>
      </c>
    </row>
    <row r="365" spans="1:3" ht="15.75" customHeight="1" x14ac:dyDescent="0.3">
      <c r="A365" s="1">
        <v>91</v>
      </c>
      <c r="B365" s="1" t="s">
        <v>6</v>
      </c>
      <c r="C365" s="2">
        <v>2</v>
      </c>
    </row>
    <row r="366" spans="1:3" ht="15.75" customHeight="1" x14ac:dyDescent="0.3">
      <c r="A366" s="1">
        <v>92</v>
      </c>
      <c r="B366" s="1" t="s">
        <v>3</v>
      </c>
      <c r="C366" s="2">
        <v>0.5</v>
      </c>
    </row>
    <row r="367" spans="1:3" ht="15.75" customHeight="1" x14ac:dyDescent="0.3">
      <c r="A367" s="1">
        <v>92</v>
      </c>
      <c r="B367" s="1" t="s">
        <v>4</v>
      </c>
      <c r="C367" s="2">
        <v>0.8</v>
      </c>
    </row>
    <row r="368" spans="1:3" ht="15.75" customHeight="1" x14ac:dyDescent="0.3">
      <c r="A368" s="1">
        <v>92</v>
      </c>
      <c r="B368" s="1" t="s">
        <v>5</v>
      </c>
      <c r="C368" s="2">
        <v>1.3</v>
      </c>
    </row>
    <row r="369" spans="1:3" ht="15.75" customHeight="1" x14ac:dyDescent="0.3">
      <c r="A369" s="1">
        <v>92</v>
      </c>
      <c r="B369" s="1" t="s">
        <v>6</v>
      </c>
      <c r="C369" s="2">
        <v>2</v>
      </c>
    </row>
    <row r="370" spans="1:3" ht="15.75" customHeight="1" x14ac:dyDescent="0.3">
      <c r="A370" s="1">
        <v>93</v>
      </c>
      <c r="B370" s="1" t="s">
        <v>3</v>
      </c>
      <c r="C370" s="2">
        <v>0.5</v>
      </c>
    </row>
    <row r="371" spans="1:3" ht="15.75" customHeight="1" x14ac:dyDescent="0.3">
      <c r="A371" s="1">
        <v>93</v>
      </c>
      <c r="B371" s="1" t="s">
        <v>4</v>
      </c>
      <c r="C371" s="2">
        <v>0.8</v>
      </c>
    </row>
    <row r="372" spans="1:3" ht="15.75" customHeight="1" x14ac:dyDescent="0.3">
      <c r="A372" s="1">
        <v>93</v>
      </c>
      <c r="B372" s="1" t="s">
        <v>5</v>
      </c>
      <c r="C372" s="2">
        <v>1.3</v>
      </c>
    </row>
    <row r="373" spans="1:3" ht="15.75" customHeight="1" x14ac:dyDescent="0.3">
      <c r="A373" s="1">
        <v>93</v>
      </c>
      <c r="B373" s="1" t="s">
        <v>6</v>
      </c>
      <c r="C373" s="2">
        <v>2</v>
      </c>
    </row>
    <row r="374" spans="1:3" ht="15.75" customHeight="1" x14ac:dyDescent="0.3">
      <c r="A374" s="1">
        <v>94</v>
      </c>
      <c r="B374" s="1" t="s">
        <v>3</v>
      </c>
      <c r="C374" s="2">
        <v>0.5</v>
      </c>
    </row>
    <row r="375" spans="1:3" ht="15.75" customHeight="1" x14ac:dyDescent="0.3">
      <c r="A375" s="1">
        <v>94</v>
      </c>
      <c r="B375" s="1" t="s">
        <v>4</v>
      </c>
      <c r="C375" s="2">
        <v>0.8</v>
      </c>
    </row>
    <row r="376" spans="1:3" ht="15.75" customHeight="1" x14ac:dyDescent="0.3">
      <c r="A376" s="1">
        <v>94</v>
      </c>
      <c r="B376" s="1" t="s">
        <v>5</v>
      </c>
      <c r="C376" s="2">
        <v>1.3</v>
      </c>
    </row>
    <row r="377" spans="1:3" ht="15.75" customHeight="1" x14ac:dyDescent="0.3">
      <c r="A377" s="1">
        <v>94</v>
      </c>
      <c r="B377" s="1" t="s">
        <v>6</v>
      </c>
      <c r="C377" s="2">
        <v>2</v>
      </c>
    </row>
    <row r="378" spans="1:3" ht="15.75" customHeight="1" x14ac:dyDescent="0.3">
      <c r="A378" s="1">
        <v>95</v>
      </c>
      <c r="B378" s="1" t="s">
        <v>3</v>
      </c>
      <c r="C378" s="2">
        <v>0.5</v>
      </c>
    </row>
    <row r="379" spans="1:3" ht="15.75" customHeight="1" x14ac:dyDescent="0.3">
      <c r="A379" s="1">
        <v>95</v>
      </c>
      <c r="B379" s="1" t="s">
        <v>4</v>
      </c>
      <c r="C379" s="2">
        <v>0.8</v>
      </c>
    </row>
    <row r="380" spans="1:3" ht="15.75" customHeight="1" x14ac:dyDescent="0.3">
      <c r="A380" s="1">
        <v>95</v>
      </c>
      <c r="B380" s="1" t="s">
        <v>5</v>
      </c>
      <c r="C380" s="2">
        <v>1.3</v>
      </c>
    </row>
    <row r="381" spans="1:3" ht="15.75" customHeight="1" x14ac:dyDescent="0.3">
      <c r="A381" s="1">
        <v>95</v>
      </c>
      <c r="B381" s="1" t="s">
        <v>6</v>
      </c>
      <c r="C381" s="2">
        <v>2</v>
      </c>
    </row>
    <row r="382" spans="1:3" ht="15.75" customHeight="1" x14ac:dyDescent="0.3">
      <c r="A382" s="1">
        <v>96</v>
      </c>
      <c r="B382" s="1" t="s">
        <v>3</v>
      </c>
      <c r="C382" s="2">
        <v>0.5</v>
      </c>
    </row>
    <row r="383" spans="1:3" ht="15.75" customHeight="1" x14ac:dyDescent="0.3">
      <c r="A383" s="1">
        <v>96</v>
      </c>
      <c r="B383" s="1" t="s">
        <v>4</v>
      </c>
      <c r="C383" s="2">
        <v>0.8</v>
      </c>
    </row>
    <row r="384" spans="1:3" ht="15.75" customHeight="1" x14ac:dyDescent="0.3">
      <c r="A384" s="1">
        <v>96</v>
      </c>
      <c r="B384" s="1" t="s">
        <v>5</v>
      </c>
      <c r="C384" s="2">
        <v>1.3</v>
      </c>
    </row>
    <row r="385" spans="1:3" ht="15.75" customHeight="1" x14ac:dyDescent="0.3">
      <c r="A385" s="1">
        <v>96</v>
      </c>
      <c r="B385" s="1" t="s">
        <v>6</v>
      </c>
      <c r="C385" s="2">
        <v>2</v>
      </c>
    </row>
    <row r="386" spans="1:3" ht="15.75" customHeight="1" x14ac:dyDescent="0.3">
      <c r="A386" s="1">
        <v>97</v>
      </c>
      <c r="B386" s="1" t="s">
        <v>3</v>
      </c>
      <c r="C386" s="2">
        <v>0.5</v>
      </c>
    </row>
    <row r="387" spans="1:3" ht="15.75" customHeight="1" x14ac:dyDescent="0.3">
      <c r="A387" s="1">
        <v>97</v>
      </c>
      <c r="B387" s="1" t="s">
        <v>4</v>
      </c>
      <c r="C387" s="2">
        <v>0.8</v>
      </c>
    </row>
    <row r="388" spans="1:3" ht="15.75" customHeight="1" x14ac:dyDescent="0.3">
      <c r="A388" s="1">
        <v>97</v>
      </c>
      <c r="B388" s="1" t="s">
        <v>5</v>
      </c>
      <c r="C388" s="2">
        <v>1.3</v>
      </c>
    </row>
    <row r="389" spans="1:3" ht="15.75" customHeight="1" x14ac:dyDescent="0.3">
      <c r="A389" s="1">
        <v>97</v>
      </c>
      <c r="B389" s="1" t="s">
        <v>6</v>
      </c>
      <c r="C389" s="2">
        <v>2</v>
      </c>
    </row>
    <row r="390" spans="1:3" ht="15.75" customHeight="1" x14ac:dyDescent="0.3">
      <c r="A390" s="1">
        <v>98</v>
      </c>
      <c r="B390" s="1" t="s">
        <v>3</v>
      </c>
      <c r="C390" s="2">
        <v>0.5</v>
      </c>
    </row>
    <row r="391" spans="1:3" ht="15.75" customHeight="1" x14ac:dyDescent="0.3">
      <c r="A391" s="1">
        <v>98</v>
      </c>
      <c r="B391" s="1" t="s">
        <v>4</v>
      </c>
      <c r="C391" s="2">
        <v>0.8</v>
      </c>
    </row>
    <row r="392" spans="1:3" ht="15.75" customHeight="1" x14ac:dyDescent="0.3">
      <c r="A392" s="1">
        <v>98</v>
      </c>
      <c r="B392" s="1" t="s">
        <v>5</v>
      </c>
      <c r="C392" s="2">
        <v>1.3</v>
      </c>
    </row>
    <row r="393" spans="1:3" ht="15.75" customHeight="1" x14ac:dyDescent="0.3">
      <c r="A393" s="1">
        <v>98</v>
      </c>
      <c r="B393" s="1" t="s">
        <v>6</v>
      </c>
      <c r="C393" s="2">
        <v>2</v>
      </c>
    </row>
    <row r="394" spans="1:3" ht="15.75" customHeight="1" x14ac:dyDescent="0.3">
      <c r="A394" s="1">
        <v>99</v>
      </c>
      <c r="B394" s="1" t="s">
        <v>3</v>
      </c>
      <c r="C394" s="2">
        <v>0.5</v>
      </c>
    </row>
    <row r="395" spans="1:3" ht="15.75" customHeight="1" x14ac:dyDescent="0.3">
      <c r="A395" s="1">
        <v>99</v>
      </c>
      <c r="B395" s="1" t="s">
        <v>4</v>
      </c>
      <c r="C395" s="2">
        <v>0.8</v>
      </c>
    </row>
    <row r="396" spans="1:3" ht="15.75" customHeight="1" x14ac:dyDescent="0.3">
      <c r="A396" s="1">
        <v>99</v>
      </c>
      <c r="B396" s="1" t="s">
        <v>5</v>
      </c>
      <c r="C396" s="2">
        <v>1.3</v>
      </c>
    </row>
    <row r="397" spans="1:3" ht="15.75" customHeight="1" x14ac:dyDescent="0.3">
      <c r="A397" s="1">
        <v>99</v>
      </c>
      <c r="B397" s="1" t="s">
        <v>6</v>
      </c>
      <c r="C397" s="2">
        <v>2</v>
      </c>
    </row>
    <row r="398" spans="1:3" ht="15.75" customHeight="1" x14ac:dyDescent="0.3">
      <c r="A398" s="1">
        <v>100</v>
      </c>
      <c r="B398" s="1" t="s">
        <v>3</v>
      </c>
      <c r="C398" s="2">
        <v>0.5</v>
      </c>
    </row>
    <row r="399" spans="1:3" ht="15.75" customHeight="1" x14ac:dyDescent="0.3">
      <c r="A399" s="1">
        <v>100</v>
      </c>
      <c r="B399" s="1" t="s">
        <v>4</v>
      </c>
      <c r="C399" s="2">
        <v>0.8</v>
      </c>
    </row>
    <row r="400" spans="1:3" ht="15.75" customHeight="1" x14ac:dyDescent="0.3">
      <c r="A400" s="1">
        <v>100</v>
      </c>
      <c r="B400" s="1" t="s">
        <v>5</v>
      </c>
      <c r="C400" s="2">
        <v>1.3</v>
      </c>
    </row>
    <row r="401" spans="1:3" ht="15.75" customHeight="1" x14ac:dyDescent="0.3">
      <c r="A401" s="1">
        <v>100</v>
      </c>
      <c r="B401" s="1" t="s">
        <v>6</v>
      </c>
      <c r="C401" s="2">
        <v>2</v>
      </c>
    </row>
    <row r="402" spans="1:3" ht="15.75" customHeight="1" x14ac:dyDescent="0.3">
      <c r="A402" s="1">
        <v>101</v>
      </c>
      <c r="B402" s="1" t="s">
        <v>3</v>
      </c>
      <c r="C402" s="2">
        <v>0.5</v>
      </c>
    </row>
    <row r="403" spans="1:3" ht="15.75" customHeight="1" x14ac:dyDescent="0.3">
      <c r="A403" s="1">
        <v>101</v>
      </c>
      <c r="B403" s="1" t="s">
        <v>4</v>
      </c>
      <c r="C403" s="2">
        <v>0.8</v>
      </c>
    </row>
    <row r="404" spans="1:3" ht="15.75" customHeight="1" x14ac:dyDescent="0.3">
      <c r="A404" s="1">
        <v>101</v>
      </c>
      <c r="B404" s="1" t="s">
        <v>5</v>
      </c>
      <c r="C404" s="2">
        <v>1.3</v>
      </c>
    </row>
    <row r="405" spans="1:3" ht="15.75" customHeight="1" x14ac:dyDescent="0.3">
      <c r="A405" s="1">
        <v>101</v>
      </c>
      <c r="B405" s="1" t="s">
        <v>6</v>
      </c>
      <c r="C405" s="2">
        <v>2</v>
      </c>
    </row>
    <row r="406" spans="1:3" ht="15.75" customHeight="1" x14ac:dyDescent="0.3">
      <c r="A406" s="1">
        <v>102</v>
      </c>
      <c r="B406" s="1" t="s">
        <v>3</v>
      </c>
      <c r="C406" s="2">
        <v>0.5</v>
      </c>
    </row>
    <row r="407" spans="1:3" ht="15.75" customHeight="1" x14ac:dyDescent="0.3">
      <c r="A407" s="1">
        <v>102</v>
      </c>
      <c r="B407" s="1" t="s">
        <v>4</v>
      </c>
      <c r="C407" s="2">
        <v>0.8</v>
      </c>
    </row>
    <row r="408" spans="1:3" ht="15.75" customHeight="1" x14ac:dyDescent="0.3">
      <c r="A408" s="1">
        <v>102</v>
      </c>
      <c r="B408" s="1" t="s">
        <v>5</v>
      </c>
      <c r="C408" s="2">
        <v>1.3</v>
      </c>
    </row>
    <row r="409" spans="1:3" ht="15.75" customHeight="1" x14ac:dyDescent="0.3">
      <c r="A409" s="1">
        <v>102</v>
      </c>
      <c r="B409" s="1" t="s">
        <v>6</v>
      </c>
      <c r="C409" s="2">
        <v>2</v>
      </c>
    </row>
    <row r="410" spans="1:3" ht="15.75" customHeight="1" x14ac:dyDescent="0.3">
      <c r="A410" s="1">
        <v>103</v>
      </c>
      <c r="B410" s="1" t="s">
        <v>3</v>
      </c>
      <c r="C410" s="2">
        <v>0.5</v>
      </c>
    </row>
    <row r="411" spans="1:3" ht="15.75" customHeight="1" x14ac:dyDescent="0.3">
      <c r="A411" s="1">
        <v>103</v>
      </c>
      <c r="B411" s="1" t="s">
        <v>4</v>
      </c>
      <c r="C411" s="2">
        <v>0.8</v>
      </c>
    </row>
    <row r="412" spans="1:3" ht="15.75" customHeight="1" x14ac:dyDescent="0.3">
      <c r="A412" s="1">
        <v>103</v>
      </c>
      <c r="B412" s="1" t="s">
        <v>5</v>
      </c>
      <c r="C412" s="2">
        <v>1.3</v>
      </c>
    </row>
    <row r="413" spans="1:3" ht="15.75" customHeight="1" x14ac:dyDescent="0.3">
      <c r="A413" s="1">
        <v>103</v>
      </c>
      <c r="B413" s="1" t="s">
        <v>6</v>
      </c>
      <c r="C413" s="2">
        <v>2</v>
      </c>
    </row>
    <row r="414" spans="1:3" ht="15.75" customHeight="1" x14ac:dyDescent="0.3">
      <c r="A414" s="1">
        <v>104</v>
      </c>
      <c r="B414" s="1" t="s">
        <v>3</v>
      </c>
      <c r="C414" s="2">
        <v>0.5</v>
      </c>
    </row>
    <row r="415" spans="1:3" ht="15.75" customHeight="1" x14ac:dyDescent="0.3">
      <c r="A415" s="1">
        <v>104</v>
      </c>
      <c r="B415" s="1" t="s">
        <v>4</v>
      </c>
      <c r="C415" s="2">
        <v>0.8</v>
      </c>
    </row>
    <row r="416" spans="1:3" ht="15.75" customHeight="1" x14ac:dyDescent="0.3">
      <c r="A416" s="1">
        <v>104</v>
      </c>
      <c r="B416" s="1" t="s">
        <v>5</v>
      </c>
      <c r="C416" s="2">
        <v>1.3</v>
      </c>
    </row>
    <row r="417" spans="1:3" ht="15.75" customHeight="1" x14ac:dyDescent="0.3">
      <c r="A417" s="1">
        <v>104</v>
      </c>
      <c r="B417" s="1" t="s">
        <v>6</v>
      </c>
      <c r="C417" s="2">
        <v>2</v>
      </c>
    </row>
    <row r="418" spans="1:3" ht="15.75" customHeight="1" x14ac:dyDescent="0.3">
      <c r="A418" s="1">
        <v>105</v>
      </c>
      <c r="B418" s="1" t="s">
        <v>3</v>
      </c>
      <c r="C418" s="2">
        <v>0.5</v>
      </c>
    </row>
    <row r="419" spans="1:3" ht="15.75" customHeight="1" x14ac:dyDescent="0.3">
      <c r="A419" s="1">
        <v>105</v>
      </c>
      <c r="B419" s="1" t="s">
        <v>4</v>
      </c>
      <c r="C419" s="2">
        <v>0.8</v>
      </c>
    </row>
    <row r="420" spans="1:3" ht="15.75" customHeight="1" x14ac:dyDescent="0.3">
      <c r="A420" s="1">
        <v>105</v>
      </c>
      <c r="B420" s="1" t="s">
        <v>5</v>
      </c>
      <c r="C420" s="2">
        <v>1.3</v>
      </c>
    </row>
    <row r="421" spans="1:3" ht="15.75" customHeight="1" x14ac:dyDescent="0.3">
      <c r="A421" s="1">
        <v>105</v>
      </c>
      <c r="B421" s="1" t="s">
        <v>6</v>
      </c>
      <c r="C421" s="2">
        <v>2</v>
      </c>
    </row>
    <row r="422" spans="1:3" ht="15.75" customHeight="1" x14ac:dyDescent="0.3">
      <c r="A422" s="1">
        <v>106</v>
      </c>
      <c r="B422" s="1" t="s">
        <v>3</v>
      </c>
      <c r="C422" s="2">
        <v>0.5</v>
      </c>
    </row>
    <row r="423" spans="1:3" ht="15.75" customHeight="1" x14ac:dyDescent="0.3">
      <c r="A423" s="1">
        <v>106</v>
      </c>
      <c r="B423" s="1" t="s">
        <v>4</v>
      </c>
      <c r="C423" s="2">
        <v>0.8</v>
      </c>
    </row>
    <row r="424" spans="1:3" ht="15.75" customHeight="1" x14ac:dyDescent="0.3">
      <c r="A424" s="1">
        <v>106</v>
      </c>
      <c r="B424" s="1" t="s">
        <v>5</v>
      </c>
      <c r="C424" s="2">
        <v>1.3</v>
      </c>
    </row>
    <row r="425" spans="1:3" ht="15.75" customHeight="1" x14ac:dyDescent="0.3">
      <c r="A425" s="1">
        <v>106</v>
      </c>
      <c r="B425" s="1" t="s">
        <v>6</v>
      </c>
      <c r="C425" s="2">
        <v>2</v>
      </c>
    </row>
    <row r="426" spans="1:3" ht="15.75" customHeight="1" x14ac:dyDescent="0.3">
      <c r="A426" s="1">
        <v>107</v>
      </c>
      <c r="B426" s="1" t="s">
        <v>3</v>
      </c>
      <c r="C426" s="2">
        <v>0.5</v>
      </c>
    </row>
    <row r="427" spans="1:3" ht="15.75" customHeight="1" x14ac:dyDescent="0.3">
      <c r="A427" s="1">
        <v>107</v>
      </c>
      <c r="B427" s="1" t="s">
        <v>4</v>
      </c>
      <c r="C427" s="2">
        <v>0.8</v>
      </c>
    </row>
    <row r="428" spans="1:3" ht="15.75" customHeight="1" x14ac:dyDescent="0.3">
      <c r="A428" s="1">
        <v>107</v>
      </c>
      <c r="B428" s="1" t="s">
        <v>5</v>
      </c>
      <c r="C428" s="2">
        <v>1.3</v>
      </c>
    </row>
    <row r="429" spans="1:3" ht="15.75" customHeight="1" x14ac:dyDescent="0.3">
      <c r="A429" s="1">
        <v>107</v>
      </c>
      <c r="B429" s="1" t="s">
        <v>6</v>
      </c>
      <c r="C429" s="2">
        <v>2</v>
      </c>
    </row>
    <row r="430" spans="1:3" ht="15.75" customHeight="1" x14ac:dyDescent="0.3">
      <c r="A430" s="1">
        <v>108</v>
      </c>
      <c r="B430" s="1" t="s">
        <v>3</v>
      </c>
      <c r="C430" s="2">
        <v>0.5</v>
      </c>
    </row>
    <row r="431" spans="1:3" ht="15.75" customHeight="1" x14ac:dyDescent="0.3">
      <c r="A431" s="1">
        <v>108</v>
      </c>
      <c r="B431" s="1" t="s">
        <v>4</v>
      </c>
      <c r="C431" s="2">
        <v>0.8</v>
      </c>
    </row>
    <row r="432" spans="1:3" ht="15.75" customHeight="1" x14ac:dyDescent="0.3">
      <c r="A432" s="1">
        <v>108</v>
      </c>
      <c r="B432" s="1" t="s">
        <v>5</v>
      </c>
      <c r="C432" s="2">
        <v>1.3</v>
      </c>
    </row>
    <row r="433" spans="1:3" ht="15.75" customHeight="1" x14ac:dyDescent="0.3">
      <c r="A433" s="1">
        <v>108</v>
      </c>
      <c r="B433" s="1" t="s">
        <v>6</v>
      </c>
      <c r="C433" s="2">
        <v>2</v>
      </c>
    </row>
    <row r="434" spans="1:3" ht="15.75" customHeight="1" x14ac:dyDescent="0.3">
      <c r="A434" s="1">
        <v>109</v>
      </c>
      <c r="B434" s="1" t="s">
        <v>3</v>
      </c>
      <c r="C434" s="2">
        <v>0.5</v>
      </c>
    </row>
    <row r="435" spans="1:3" ht="15.75" customHeight="1" x14ac:dyDescent="0.3">
      <c r="A435" s="1">
        <v>109</v>
      </c>
      <c r="B435" s="1" t="s">
        <v>4</v>
      </c>
      <c r="C435" s="2">
        <v>0.8</v>
      </c>
    </row>
    <row r="436" spans="1:3" ht="15.75" customHeight="1" x14ac:dyDescent="0.3">
      <c r="A436" s="1">
        <v>109</v>
      </c>
      <c r="B436" s="1" t="s">
        <v>5</v>
      </c>
      <c r="C436" s="2">
        <v>1.3</v>
      </c>
    </row>
    <row r="437" spans="1:3" ht="15.75" customHeight="1" x14ac:dyDescent="0.3">
      <c r="A437" s="1">
        <v>109</v>
      </c>
      <c r="B437" s="1" t="s">
        <v>6</v>
      </c>
      <c r="C437" s="2">
        <v>2</v>
      </c>
    </row>
    <row r="438" spans="1:3" ht="15.75" customHeight="1" x14ac:dyDescent="0.3">
      <c r="A438" s="1">
        <v>110</v>
      </c>
      <c r="B438" s="1" t="s">
        <v>3</v>
      </c>
      <c r="C438" s="2">
        <v>0.5</v>
      </c>
    </row>
    <row r="439" spans="1:3" ht="15.75" customHeight="1" x14ac:dyDescent="0.3">
      <c r="A439" s="1">
        <v>110</v>
      </c>
      <c r="B439" s="1" t="s">
        <v>4</v>
      </c>
      <c r="C439" s="2">
        <v>0.8</v>
      </c>
    </row>
    <row r="440" spans="1:3" ht="15.75" customHeight="1" x14ac:dyDescent="0.3">
      <c r="A440" s="1">
        <v>110</v>
      </c>
      <c r="B440" s="1" t="s">
        <v>5</v>
      </c>
      <c r="C440" s="2">
        <v>1.3</v>
      </c>
    </row>
    <row r="441" spans="1:3" ht="15.75" customHeight="1" x14ac:dyDescent="0.3">
      <c r="A441" s="1">
        <v>110</v>
      </c>
      <c r="B441" s="1" t="s">
        <v>6</v>
      </c>
      <c r="C441" s="2">
        <v>2</v>
      </c>
    </row>
    <row r="442" spans="1:3" ht="15.75" customHeight="1" x14ac:dyDescent="0.3">
      <c r="A442" s="1">
        <v>111</v>
      </c>
      <c r="B442" s="1" t="s">
        <v>3</v>
      </c>
      <c r="C442" s="2">
        <v>0.5</v>
      </c>
    </row>
    <row r="443" spans="1:3" ht="15.75" customHeight="1" x14ac:dyDescent="0.3">
      <c r="A443" s="1">
        <v>111</v>
      </c>
      <c r="B443" s="1" t="s">
        <v>4</v>
      </c>
      <c r="C443" s="2">
        <v>0.8</v>
      </c>
    </row>
    <row r="444" spans="1:3" ht="15.75" customHeight="1" x14ac:dyDescent="0.3">
      <c r="A444" s="1">
        <v>111</v>
      </c>
      <c r="B444" s="1" t="s">
        <v>5</v>
      </c>
      <c r="C444" s="2">
        <v>1.3</v>
      </c>
    </row>
    <row r="445" spans="1:3" ht="15.75" customHeight="1" x14ac:dyDescent="0.3">
      <c r="A445" s="1">
        <v>111</v>
      </c>
      <c r="B445" s="1" t="s">
        <v>6</v>
      </c>
      <c r="C445" s="2">
        <v>2</v>
      </c>
    </row>
    <row r="446" spans="1:3" ht="15.75" customHeight="1" x14ac:dyDescent="0.3">
      <c r="A446" s="1">
        <v>112</v>
      </c>
      <c r="B446" s="1" t="s">
        <v>3</v>
      </c>
      <c r="C446" s="2">
        <v>0.5</v>
      </c>
    </row>
    <row r="447" spans="1:3" ht="15.75" customHeight="1" x14ac:dyDescent="0.3">
      <c r="A447" s="1">
        <v>112</v>
      </c>
      <c r="B447" s="1" t="s">
        <v>4</v>
      </c>
      <c r="C447" s="2">
        <v>0.8</v>
      </c>
    </row>
    <row r="448" spans="1:3" ht="15.75" customHeight="1" x14ac:dyDescent="0.3">
      <c r="A448" s="1">
        <v>112</v>
      </c>
      <c r="B448" s="1" t="s">
        <v>5</v>
      </c>
      <c r="C448" s="2">
        <v>1.3</v>
      </c>
    </row>
    <row r="449" spans="1:3" ht="15.75" customHeight="1" x14ac:dyDescent="0.3">
      <c r="A449" s="1">
        <v>112</v>
      </c>
      <c r="B449" s="1" t="s">
        <v>6</v>
      </c>
      <c r="C449" s="2">
        <v>2</v>
      </c>
    </row>
    <row r="450" spans="1:3" ht="15.75" customHeight="1" x14ac:dyDescent="0.3">
      <c r="A450" s="1">
        <v>113</v>
      </c>
      <c r="B450" s="1" t="s">
        <v>3</v>
      </c>
      <c r="C450" s="2">
        <v>0.5</v>
      </c>
    </row>
    <row r="451" spans="1:3" ht="15.75" customHeight="1" x14ac:dyDescent="0.3">
      <c r="A451" s="1">
        <v>113</v>
      </c>
      <c r="B451" s="1" t="s">
        <v>4</v>
      </c>
      <c r="C451" s="2">
        <v>0.8</v>
      </c>
    </row>
    <row r="452" spans="1:3" ht="15.75" customHeight="1" x14ac:dyDescent="0.3">
      <c r="A452" s="1">
        <v>113</v>
      </c>
      <c r="B452" s="1" t="s">
        <v>5</v>
      </c>
      <c r="C452" s="2">
        <v>1.3</v>
      </c>
    </row>
    <row r="453" spans="1:3" ht="15.75" customHeight="1" x14ac:dyDescent="0.3">
      <c r="A453" s="1">
        <v>113</v>
      </c>
      <c r="B453" s="1" t="s">
        <v>6</v>
      </c>
      <c r="C453" s="2">
        <v>2</v>
      </c>
    </row>
    <row r="454" spans="1:3" ht="15.75" customHeight="1" x14ac:dyDescent="0.3">
      <c r="A454" s="1">
        <v>114</v>
      </c>
      <c r="B454" s="1" t="s">
        <v>3</v>
      </c>
      <c r="C454" s="2">
        <v>0.5</v>
      </c>
    </row>
    <row r="455" spans="1:3" ht="15.75" customHeight="1" x14ac:dyDescent="0.3">
      <c r="A455" s="1">
        <v>114</v>
      </c>
      <c r="B455" s="1" t="s">
        <v>4</v>
      </c>
      <c r="C455" s="2">
        <v>0.8</v>
      </c>
    </row>
    <row r="456" spans="1:3" ht="15.75" customHeight="1" x14ac:dyDescent="0.3">
      <c r="A456" s="1">
        <v>114</v>
      </c>
      <c r="B456" s="1" t="s">
        <v>5</v>
      </c>
      <c r="C456" s="2">
        <v>1.3</v>
      </c>
    </row>
    <row r="457" spans="1:3" ht="15.75" customHeight="1" x14ac:dyDescent="0.3">
      <c r="A457" s="1">
        <v>114</v>
      </c>
      <c r="B457" s="1" t="s">
        <v>6</v>
      </c>
      <c r="C457" s="2">
        <v>2</v>
      </c>
    </row>
    <row r="458" spans="1:3" ht="15.75" customHeight="1" x14ac:dyDescent="0.3">
      <c r="A458" s="1">
        <v>115</v>
      </c>
      <c r="B458" s="1" t="s">
        <v>3</v>
      </c>
      <c r="C458" s="2">
        <v>0.5</v>
      </c>
    </row>
    <row r="459" spans="1:3" ht="15.75" customHeight="1" x14ac:dyDescent="0.3">
      <c r="A459" s="1">
        <v>115</v>
      </c>
      <c r="B459" s="1" t="s">
        <v>4</v>
      </c>
      <c r="C459" s="2">
        <v>0.8</v>
      </c>
    </row>
    <row r="460" spans="1:3" ht="15.75" customHeight="1" x14ac:dyDescent="0.3">
      <c r="A460" s="1">
        <v>115</v>
      </c>
      <c r="B460" s="1" t="s">
        <v>5</v>
      </c>
      <c r="C460" s="2">
        <v>1.3</v>
      </c>
    </row>
    <row r="461" spans="1:3" ht="15.75" customHeight="1" x14ac:dyDescent="0.3">
      <c r="A461" s="1">
        <v>115</v>
      </c>
      <c r="B461" s="1" t="s">
        <v>6</v>
      </c>
      <c r="C461" s="2">
        <v>2</v>
      </c>
    </row>
    <row r="462" spans="1:3" ht="15.75" customHeight="1" x14ac:dyDescent="0.3">
      <c r="A462" s="1">
        <v>116</v>
      </c>
      <c r="B462" s="1" t="s">
        <v>3</v>
      </c>
      <c r="C462" s="2">
        <v>0.5</v>
      </c>
    </row>
    <row r="463" spans="1:3" ht="15.75" customHeight="1" x14ac:dyDescent="0.3">
      <c r="A463" s="1">
        <v>116</v>
      </c>
      <c r="B463" s="1" t="s">
        <v>4</v>
      </c>
      <c r="C463" s="2">
        <v>0.8</v>
      </c>
    </row>
    <row r="464" spans="1:3" ht="15.75" customHeight="1" x14ac:dyDescent="0.3">
      <c r="A464" s="1">
        <v>116</v>
      </c>
      <c r="B464" s="1" t="s">
        <v>5</v>
      </c>
      <c r="C464" s="2">
        <v>1.3</v>
      </c>
    </row>
    <row r="465" spans="1:3" ht="15.75" customHeight="1" x14ac:dyDescent="0.3">
      <c r="A465" s="1">
        <v>116</v>
      </c>
      <c r="B465" s="1" t="s">
        <v>6</v>
      </c>
      <c r="C465" s="2">
        <v>2</v>
      </c>
    </row>
    <row r="466" spans="1:3" ht="15.75" customHeight="1" x14ac:dyDescent="0.3">
      <c r="A466" s="1">
        <v>117</v>
      </c>
      <c r="B466" s="1" t="s">
        <v>3</v>
      </c>
      <c r="C466" s="2">
        <v>0.5</v>
      </c>
    </row>
    <row r="467" spans="1:3" ht="15.75" customHeight="1" x14ac:dyDescent="0.3">
      <c r="A467" s="1">
        <v>117</v>
      </c>
      <c r="B467" s="1" t="s">
        <v>4</v>
      </c>
      <c r="C467" s="2">
        <v>0.8</v>
      </c>
    </row>
    <row r="468" spans="1:3" ht="15.75" customHeight="1" x14ac:dyDescent="0.3">
      <c r="A468" s="1">
        <v>117</v>
      </c>
      <c r="B468" s="1" t="s">
        <v>5</v>
      </c>
      <c r="C468" s="2">
        <v>1.3</v>
      </c>
    </row>
    <row r="469" spans="1:3" ht="15.75" customHeight="1" x14ac:dyDescent="0.3">
      <c r="A469" s="1">
        <v>117</v>
      </c>
      <c r="B469" s="1" t="s">
        <v>6</v>
      </c>
      <c r="C469" s="2">
        <v>2</v>
      </c>
    </row>
    <row r="470" spans="1:3" ht="15.75" customHeight="1" x14ac:dyDescent="0.3">
      <c r="A470" s="1">
        <v>118</v>
      </c>
      <c r="B470" s="1" t="s">
        <v>3</v>
      </c>
      <c r="C470" s="2">
        <v>0.5</v>
      </c>
    </row>
    <row r="471" spans="1:3" ht="15.75" customHeight="1" x14ac:dyDescent="0.3">
      <c r="A471" s="1">
        <v>118</v>
      </c>
      <c r="B471" s="1" t="s">
        <v>4</v>
      </c>
      <c r="C471" s="2">
        <v>0.8</v>
      </c>
    </row>
    <row r="472" spans="1:3" ht="15.75" customHeight="1" x14ac:dyDescent="0.3">
      <c r="A472" s="1">
        <v>118</v>
      </c>
      <c r="B472" s="1" t="s">
        <v>5</v>
      </c>
      <c r="C472" s="2">
        <v>1.3</v>
      </c>
    </row>
    <row r="473" spans="1:3" ht="15.75" customHeight="1" x14ac:dyDescent="0.3">
      <c r="A473" s="1">
        <v>118</v>
      </c>
      <c r="B473" s="1" t="s">
        <v>6</v>
      </c>
      <c r="C473" s="2">
        <v>2</v>
      </c>
    </row>
    <row r="474" spans="1:3" ht="15.75" customHeight="1" x14ac:dyDescent="0.3">
      <c r="A474" s="1">
        <v>119</v>
      </c>
      <c r="B474" s="1" t="s">
        <v>3</v>
      </c>
      <c r="C474" s="2">
        <v>0.5</v>
      </c>
    </row>
    <row r="475" spans="1:3" ht="15.75" customHeight="1" x14ac:dyDescent="0.3">
      <c r="A475" s="1">
        <v>119</v>
      </c>
      <c r="B475" s="1" t="s">
        <v>4</v>
      </c>
      <c r="C475" s="2">
        <v>0.8</v>
      </c>
    </row>
    <row r="476" spans="1:3" ht="15.75" customHeight="1" x14ac:dyDescent="0.3">
      <c r="A476" s="1">
        <v>119</v>
      </c>
      <c r="B476" s="1" t="s">
        <v>5</v>
      </c>
      <c r="C476" s="2">
        <v>1.3</v>
      </c>
    </row>
    <row r="477" spans="1:3" ht="15.75" customHeight="1" x14ac:dyDescent="0.3">
      <c r="A477" s="1">
        <v>119</v>
      </c>
      <c r="B477" s="1" t="s">
        <v>6</v>
      </c>
      <c r="C477" s="2">
        <v>2</v>
      </c>
    </row>
    <row r="478" spans="1:3" ht="15.75" customHeight="1" x14ac:dyDescent="0.3">
      <c r="A478" s="1">
        <v>120</v>
      </c>
      <c r="B478" s="1" t="s">
        <v>3</v>
      </c>
      <c r="C478" s="2">
        <v>0.5</v>
      </c>
    </row>
    <row r="479" spans="1:3" ht="15.75" customHeight="1" x14ac:dyDescent="0.3">
      <c r="A479" s="1">
        <v>120</v>
      </c>
      <c r="B479" s="1" t="s">
        <v>4</v>
      </c>
      <c r="C479" s="2">
        <v>0.8</v>
      </c>
    </row>
    <row r="480" spans="1:3" ht="15.75" customHeight="1" x14ac:dyDescent="0.3">
      <c r="A480" s="1">
        <v>120</v>
      </c>
      <c r="B480" s="1" t="s">
        <v>5</v>
      </c>
      <c r="C480" s="2">
        <v>1.3</v>
      </c>
    </row>
    <row r="481" spans="1:3" ht="15.75" customHeight="1" x14ac:dyDescent="0.3">
      <c r="A481" s="1">
        <v>120</v>
      </c>
      <c r="B481" s="1" t="s">
        <v>6</v>
      </c>
      <c r="C481" s="2">
        <v>2</v>
      </c>
    </row>
    <row r="482" spans="1:3" ht="15.75" customHeight="1" x14ac:dyDescent="0.3"/>
    <row r="483" spans="1:3" ht="15.75" customHeight="1" x14ac:dyDescent="0.3"/>
    <row r="484" spans="1:3" ht="15.75" customHeight="1" x14ac:dyDescent="0.3"/>
    <row r="485" spans="1:3" ht="15.75" customHeight="1" x14ac:dyDescent="0.3"/>
    <row r="486" spans="1:3" ht="15.75" customHeight="1" x14ac:dyDescent="0.3"/>
    <row r="487" spans="1:3" ht="15.75" customHeight="1" x14ac:dyDescent="0.3"/>
    <row r="488" spans="1:3" ht="15.75" customHeight="1" x14ac:dyDescent="0.3"/>
    <row r="489" spans="1:3" ht="15.75" customHeight="1" x14ac:dyDescent="0.3"/>
    <row r="490" spans="1:3" ht="15.75" customHeight="1" x14ac:dyDescent="0.3"/>
    <row r="491" spans="1:3" ht="15.75" customHeight="1" x14ac:dyDescent="0.3"/>
    <row r="492" spans="1:3" ht="15.75" customHeight="1" x14ac:dyDescent="0.3"/>
    <row r="493" spans="1:3" ht="15.75" customHeight="1" x14ac:dyDescent="0.3"/>
    <row r="494" spans="1:3" ht="15.75" customHeight="1" x14ac:dyDescent="0.3"/>
    <row r="495" spans="1:3" ht="15.75" customHeight="1" x14ac:dyDescent="0.3"/>
    <row r="496" spans="1:3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481" xr:uid="{00000000-0009-0000-0000-000000000000}"/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W1000"/>
  <sheetViews>
    <sheetView showGridLines="0" workbookViewId="0">
      <selection activeCell="B7" sqref="B7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81" t="s">
        <v>7</v>
      </c>
      <c r="K1" s="77" t="s">
        <v>8</v>
      </c>
      <c r="L1" s="77" t="s">
        <v>9</v>
      </c>
      <c r="M1" s="77" t="s">
        <v>10</v>
      </c>
      <c r="N1" s="77" t="s">
        <v>11</v>
      </c>
      <c r="O1" s="79" t="s">
        <v>12</v>
      </c>
      <c r="P1" s="80"/>
      <c r="R1" s="81" t="s">
        <v>8</v>
      </c>
      <c r="S1" s="77" t="s">
        <v>13</v>
      </c>
      <c r="T1" s="77" t="s">
        <v>14</v>
      </c>
      <c r="U1" s="77" t="s">
        <v>15</v>
      </c>
      <c r="V1" s="77" t="s">
        <v>16</v>
      </c>
      <c r="W1" s="91" t="s">
        <v>17</v>
      </c>
    </row>
    <row r="2" spans="1:23" ht="14.4" x14ac:dyDescent="0.3">
      <c r="A2" s="87" t="s">
        <v>18</v>
      </c>
      <c r="B2" s="88"/>
      <c r="C2" s="88"/>
      <c r="D2" s="86"/>
      <c r="F2" s="3" t="s">
        <v>19</v>
      </c>
      <c r="G2" s="4" t="s">
        <v>20</v>
      </c>
      <c r="H2" s="5" t="s">
        <v>2</v>
      </c>
      <c r="J2" s="82"/>
      <c r="K2" s="78"/>
      <c r="L2" s="78"/>
      <c r="M2" s="78"/>
      <c r="N2" s="78"/>
      <c r="O2" s="6" t="s">
        <v>20</v>
      </c>
      <c r="P2" s="7" t="s">
        <v>21</v>
      </c>
      <c r="R2" s="82"/>
      <c r="S2" s="78"/>
      <c r="T2" s="78"/>
      <c r="U2" s="78"/>
      <c r="V2" s="78"/>
      <c r="W2" s="92"/>
    </row>
    <row r="3" spans="1:23" ht="15.6" x14ac:dyDescent="0.3">
      <c r="A3" s="83" t="s">
        <v>22</v>
      </c>
      <c r="B3" s="84"/>
      <c r="C3" s="89" t="s">
        <v>4</v>
      </c>
      <c r="D3" s="86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75</v>
      </c>
      <c r="L3" s="51"/>
      <c r="M3" s="52"/>
      <c r="N3" s="53"/>
      <c r="O3" s="54">
        <v>1</v>
      </c>
      <c r="P3" s="55">
        <v>75</v>
      </c>
      <c r="R3" s="13">
        <f t="shared" ref="R3:R57" si="1">S3*$H$3+T3*$H$4+U3*$H$5+V3*$H$6+W3*$H$7</f>
        <v>0</v>
      </c>
      <c r="S3" s="54"/>
      <c r="T3" s="54"/>
      <c r="U3" s="66"/>
      <c r="V3" s="54"/>
      <c r="W3" s="55"/>
    </row>
    <row r="4" spans="1:23" ht="15.6" x14ac:dyDescent="0.3">
      <c r="A4" s="83" t="s">
        <v>24</v>
      </c>
      <c r="B4" s="84"/>
      <c r="C4" s="90">
        <f>SUM(L3:O57)</f>
        <v>4</v>
      </c>
      <c r="D4" s="86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56"/>
      <c r="M4" s="57"/>
      <c r="N4" s="58"/>
      <c r="O4" s="54"/>
      <c r="P4" s="55"/>
      <c r="R4" s="13">
        <f t="shared" si="1"/>
        <v>0</v>
      </c>
      <c r="S4" s="54"/>
      <c r="T4" s="54"/>
      <c r="U4" s="56"/>
      <c r="V4" s="54"/>
      <c r="W4" s="55"/>
    </row>
    <row r="5" spans="1:23" ht="15.6" x14ac:dyDescent="0.3">
      <c r="A5" s="83" t="s">
        <v>25</v>
      </c>
      <c r="B5" s="84"/>
      <c r="C5" s="85">
        <v>1.6</v>
      </c>
      <c r="D5" s="86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56"/>
      <c r="M5" s="57"/>
      <c r="N5" s="57"/>
      <c r="O5" s="54"/>
      <c r="P5" s="55"/>
      <c r="R5" s="13">
        <f t="shared" si="1"/>
        <v>0</v>
      </c>
      <c r="S5" s="54"/>
      <c r="T5" s="54"/>
      <c r="U5" s="59"/>
      <c r="V5" s="54"/>
      <c r="W5" s="55"/>
    </row>
    <row r="6" spans="1:23" ht="15.6" x14ac:dyDescent="0.3">
      <c r="D6">
        <f>SUM(L3:N15)*C5</f>
        <v>4.8000000000000007</v>
      </c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59"/>
      <c r="M6" s="57"/>
      <c r="N6" s="58"/>
      <c r="O6" s="54"/>
      <c r="P6" s="55"/>
      <c r="R6" s="13">
        <f t="shared" si="1"/>
        <v>0</v>
      </c>
      <c r="S6" s="54"/>
      <c r="T6" s="54"/>
      <c r="U6" s="59"/>
      <c r="V6" s="54"/>
      <c r="W6" s="55"/>
    </row>
    <row r="7" spans="1:23" ht="15.6" x14ac:dyDescent="0.3">
      <c r="C7">
        <f>D6+D7</f>
        <v>79.8</v>
      </c>
      <c r="D7">
        <f>P3</f>
        <v>75</v>
      </c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1.6</v>
      </c>
      <c r="L7" s="56"/>
      <c r="M7" s="57"/>
      <c r="N7" s="58">
        <v>1</v>
      </c>
      <c r="O7" s="54"/>
      <c r="P7" s="55"/>
      <c r="R7" s="13">
        <f t="shared" si="1"/>
        <v>0</v>
      </c>
      <c r="S7" s="54"/>
      <c r="T7" s="54"/>
      <c r="U7" s="56"/>
      <c r="V7" s="54"/>
      <c r="W7" s="55"/>
    </row>
    <row r="8" spans="1:23" ht="15.6" x14ac:dyDescent="0.3">
      <c r="B8" s="1"/>
      <c r="C8" s="1"/>
      <c r="D8" s="1"/>
      <c r="J8" s="11">
        <v>6</v>
      </c>
      <c r="K8" s="12">
        <f t="shared" si="0"/>
        <v>3.2</v>
      </c>
      <c r="L8" s="56">
        <v>1</v>
      </c>
      <c r="M8" s="57"/>
      <c r="N8" s="57">
        <v>1</v>
      </c>
      <c r="O8" s="54"/>
      <c r="P8" s="55"/>
      <c r="R8" s="13">
        <f t="shared" si="1"/>
        <v>0</v>
      </c>
      <c r="S8" s="54"/>
      <c r="T8" s="54"/>
      <c r="U8" s="59"/>
      <c r="V8" s="54"/>
      <c r="W8" s="55"/>
    </row>
    <row r="9" spans="1:23" ht="15.6" x14ac:dyDescent="0.3">
      <c r="J9" s="11">
        <v>7</v>
      </c>
      <c r="K9" s="12">
        <f t="shared" si="0"/>
        <v>0</v>
      </c>
      <c r="L9" s="56"/>
      <c r="M9" s="58"/>
      <c r="N9" s="58"/>
      <c r="O9" s="54"/>
      <c r="P9" s="55"/>
      <c r="R9" s="13">
        <f t="shared" si="1"/>
        <v>0</v>
      </c>
      <c r="S9" s="54"/>
      <c r="T9" s="54"/>
      <c r="U9" s="59"/>
      <c r="V9" s="54"/>
      <c r="W9" s="55"/>
    </row>
    <row r="10" spans="1:23" ht="15.6" x14ac:dyDescent="0.3">
      <c r="J10" s="11">
        <v>8</v>
      </c>
      <c r="K10" s="12">
        <f t="shared" si="0"/>
        <v>0</v>
      </c>
      <c r="L10" s="56"/>
      <c r="M10" s="58"/>
      <c r="N10" s="58"/>
      <c r="O10" s="54"/>
      <c r="P10" s="55"/>
      <c r="R10" s="13">
        <f t="shared" si="1"/>
        <v>0</v>
      </c>
      <c r="S10" s="54"/>
      <c r="T10" s="54"/>
      <c r="U10" s="59"/>
      <c r="V10" s="54"/>
      <c r="W10" s="55"/>
    </row>
    <row r="11" spans="1:23" ht="15.6" x14ac:dyDescent="0.3">
      <c r="B11" s="1"/>
      <c r="J11" s="11">
        <v>9</v>
      </c>
      <c r="K11" s="12">
        <f t="shared" si="0"/>
        <v>0</v>
      </c>
      <c r="L11" s="56"/>
      <c r="M11" s="57"/>
      <c r="N11" s="58"/>
      <c r="O11" s="54"/>
      <c r="P11" s="55"/>
      <c r="R11" s="13">
        <f t="shared" si="1"/>
        <v>0</v>
      </c>
      <c r="S11" s="54"/>
      <c r="T11" s="54"/>
      <c r="U11" s="56"/>
      <c r="V11" s="54"/>
      <c r="W11" s="55"/>
    </row>
    <row r="12" spans="1:23" ht="15.6" x14ac:dyDescent="0.3">
      <c r="J12" s="11">
        <v>10</v>
      </c>
      <c r="K12" s="12">
        <f t="shared" si="0"/>
        <v>0</v>
      </c>
      <c r="L12" s="56"/>
      <c r="M12" s="57"/>
      <c r="N12" s="58"/>
      <c r="O12" s="54"/>
      <c r="P12" s="55"/>
      <c r="R12" s="13">
        <f t="shared" si="1"/>
        <v>0</v>
      </c>
      <c r="S12" s="54"/>
      <c r="T12" s="54"/>
      <c r="U12" s="59"/>
      <c r="V12" s="54"/>
      <c r="W12" s="55"/>
    </row>
    <row r="13" spans="1:23" ht="15.6" x14ac:dyDescent="0.3">
      <c r="J13" s="11">
        <v>11</v>
      </c>
      <c r="K13" s="12">
        <f t="shared" si="0"/>
        <v>0</v>
      </c>
      <c r="L13" s="56"/>
      <c r="M13" s="58"/>
      <c r="N13" s="58"/>
      <c r="O13" s="54"/>
      <c r="P13" s="55"/>
      <c r="R13" s="13">
        <f t="shared" si="1"/>
        <v>0</v>
      </c>
      <c r="S13" s="54"/>
      <c r="T13" s="54"/>
      <c r="U13" s="56"/>
      <c r="V13" s="54"/>
      <c r="W13" s="55"/>
    </row>
    <row r="14" spans="1:23" ht="15.6" x14ac:dyDescent="0.3">
      <c r="J14" s="11">
        <v>12</v>
      </c>
      <c r="K14" s="12">
        <f t="shared" si="0"/>
        <v>0</v>
      </c>
      <c r="L14" s="59"/>
      <c r="M14" s="57"/>
      <c r="N14" s="58"/>
      <c r="O14" s="54"/>
      <c r="P14" s="55"/>
      <c r="R14" s="13">
        <f t="shared" si="1"/>
        <v>0</v>
      </c>
      <c r="S14" s="54"/>
      <c r="T14" s="54"/>
      <c r="U14" s="59"/>
      <c r="V14" s="54"/>
      <c r="W14" s="55"/>
    </row>
    <row r="15" spans="1:23" ht="15.6" x14ac:dyDescent="0.3">
      <c r="J15" s="11">
        <v>13</v>
      </c>
      <c r="K15" s="12">
        <f t="shared" si="0"/>
        <v>0</v>
      </c>
      <c r="L15" s="59"/>
      <c r="M15" s="57"/>
      <c r="N15" s="58"/>
      <c r="O15" s="54"/>
      <c r="P15" s="55"/>
      <c r="R15" s="13">
        <f t="shared" si="1"/>
        <v>0</v>
      </c>
      <c r="S15" s="54"/>
      <c r="T15" s="54"/>
      <c r="U15" s="59"/>
      <c r="V15" s="54"/>
      <c r="W15" s="55"/>
    </row>
    <row r="16" spans="1:23" ht="15.6" x14ac:dyDescent="0.3">
      <c r="J16" s="11">
        <v>14</v>
      </c>
      <c r="K16" s="12">
        <f t="shared" si="0"/>
        <v>0</v>
      </c>
      <c r="L16" s="59"/>
      <c r="M16" s="58"/>
      <c r="N16" s="58"/>
      <c r="O16" s="54"/>
      <c r="P16" s="55"/>
      <c r="R16" s="13">
        <f t="shared" si="1"/>
        <v>0</v>
      </c>
      <c r="S16" s="54"/>
      <c r="T16" s="54"/>
      <c r="U16" s="59"/>
      <c r="V16" s="54"/>
      <c r="W16" s="55"/>
    </row>
    <row r="17" spans="10:23" ht="15.6" x14ac:dyDescent="0.3">
      <c r="J17" s="11">
        <v>15</v>
      </c>
      <c r="K17" s="12">
        <f t="shared" si="0"/>
        <v>0</v>
      </c>
      <c r="L17" s="56"/>
      <c r="M17" s="57"/>
      <c r="N17" s="58"/>
      <c r="O17" s="54"/>
      <c r="P17" s="55"/>
      <c r="R17" s="13">
        <f t="shared" si="1"/>
        <v>0</v>
      </c>
      <c r="S17" s="54"/>
      <c r="T17" s="54"/>
      <c r="U17" s="59"/>
      <c r="V17" s="54"/>
      <c r="W17" s="55"/>
    </row>
    <row r="18" spans="10:23" ht="15.6" x14ac:dyDescent="0.3">
      <c r="J18" s="11">
        <v>16</v>
      </c>
      <c r="K18" s="12">
        <f t="shared" si="0"/>
        <v>0</v>
      </c>
      <c r="L18" s="56"/>
      <c r="M18" s="57"/>
      <c r="N18" s="58"/>
      <c r="O18" s="54"/>
      <c r="P18" s="55"/>
      <c r="R18" s="13">
        <f t="shared" si="1"/>
        <v>0</v>
      </c>
      <c r="S18" s="54"/>
      <c r="T18" s="54"/>
      <c r="U18" s="59"/>
      <c r="V18" s="54"/>
      <c r="W18" s="55"/>
    </row>
    <row r="19" spans="10:23" ht="15.6" x14ac:dyDescent="0.3">
      <c r="J19" s="11">
        <v>17</v>
      </c>
      <c r="K19" s="12">
        <f t="shared" si="0"/>
        <v>0</v>
      </c>
      <c r="L19" s="59"/>
      <c r="M19" s="58"/>
      <c r="N19" s="58"/>
      <c r="O19" s="54"/>
      <c r="P19" s="55"/>
      <c r="R19" s="13">
        <f t="shared" si="1"/>
        <v>0</v>
      </c>
      <c r="S19" s="54"/>
      <c r="T19" s="54"/>
      <c r="U19" s="56"/>
      <c r="V19" s="54"/>
      <c r="W19" s="55"/>
    </row>
    <row r="20" spans="10:23" ht="15.6" x14ac:dyDescent="0.3">
      <c r="J20" s="11">
        <v>18</v>
      </c>
      <c r="K20" s="12">
        <f t="shared" si="0"/>
        <v>0</v>
      </c>
      <c r="L20" s="59"/>
      <c r="M20" s="57"/>
      <c r="N20" s="58"/>
      <c r="O20" s="54"/>
      <c r="P20" s="55"/>
      <c r="R20" s="13">
        <f t="shared" si="1"/>
        <v>0</v>
      </c>
      <c r="S20" s="54"/>
      <c r="T20" s="54"/>
      <c r="U20" s="59"/>
      <c r="V20" s="54"/>
      <c r="W20" s="55"/>
    </row>
    <row r="21" spans="10:23" ht="15.75" customHeight="1" x14ac:dyDescent="0.3">
      <c r="J21" s="11">
        <v>19</v>
      </c>
      <c r="K21" s="12">
        <f t="shared" si="0"/>
        <v>0</v>
      </c>
      <c r="L21" s="56"/>
      <c r="M21" s="58"/>
      <c r="N21" s="58"/>
      <c r="O21" s="54"/>
      <c r="P21" s="55"/>
      <c r="R21" s="13">
        <f t="shared" si="1"/>
        <v>0</v>
      </c>
      <c r="S21" s="54"/>
      <c r="T21" s="54"/>
      <c r="U21" s="56"/>
      <c r="V21" s="54"/>
      <c r="W21" s="55"/>
    </row>
    <row r="22" spans="10:23" ht="15.75" customHeight="1" x14ac:dyDescent="0.3">
      <c r="J22" s="11">
        <v>20</v>
      </c>
      <c r="K22" s="12">
        <f t="shared" si="0"/>
        <v>0</v>
      </c>
      <c r="L22" s="56"/>
      <c r="M22" s="58"/>
      <c r="N22" s="58"/>
      <c r="O22" s="54"/>
      <c r="P22" s="55"/>
      <c r="R22" s="13">
        <f t="shared" si="1"/>
        <v>0</v>
      </c>
      <c r="S22" s="54"/>
      <c r="T22" s="54"/>
      <c r="U22" s="56"/>
      <c r="V22" s="54"/>
      <c r="W22" s="55"/>
    </row>
    <row r="23" spans="10:23" ht="15.75" customHeight="1" x14ac:dyDescent="0.3">
      <c r="J23" s="11">
        <v>21</v>
      </c>
      <c r="K23" s="12">
        <f t="shared" si="0"/>
        <v>0</v>
      </c>
      <c r="L23" s="56"/>
      <c r="M23" s="58"/>
      <c r="N23" s="58"/>
      <c r="O23" s="54"/>
      <c r="P23" s="55"/>
      <c r="R23" s="13">
        <f t="shared" si="1"/>
        <v>0</v>
      </c>
      <c r="S23" s="54"/>
      <c r="T23" s="54"/>
      <c r="U23" s="56"/>
      <c r="V23" s="54"/>
      <c r="W23" s="55"/>
    </row>
    <row r="24" spans="10:23" ht="15.75" customHeight="1" x14ac:dyDescent="0.3">
      <c r="J24" s="11">
        <v>22</v>
      </c>
      <c r="K24" s="12">
        <f t="shared" si="0"/>
        <v>0</v>
      </c>
      <c r="L24" s="56"/>
      <c r="M24" s="57"/>
      <c r="N24" s="58"/>
      <c r="O24" s="54"/>
      <c r="P24" s="55"/>
      <c r="R24" s="13">
        <f t="shared" si="1"/>
        <v>0</v>
      </c>
      <c r="S24" s="54"/>
      <c r="T24" s="54"/>
      <c r="U24" s="56"/>
      <c r="V24" s="54"/>
      <c r="W24" s="55"/>
    </row>
    <row r="25" spans="10:23" ht="15.75" customHeight="1" x14ac:dyDescent="0.3">
      <c r="J25" s="11">
        <v>23</v>
      </c>
      <c r="K25" s="12">
        <f t="shared" si="0"/>
        <v>0</v>
      </c>
      <c r="L25" s="56"/>
      <c r="M25" s="57"/>
      <c r="N25" s="58"/>
      <c r="O25" s="54"/>
      <c r="P25" s="55"/>
      <c r="R25" s="13">
        <f t="shared" si="1"/>
        <v>0</v>
      </c>
      <c r="S25" s="54"/>
      <c r="T25" s="54"/>
      <c r="U25" s="56"/>
      <c r="V25" s="54"/>
      <c r="W25" s="55"/>
    </row>
    <row r="26" spans="10:23" ht="15.75" customHeight="1" x14ac:dyDescent="0.3">
      <c r="J26" s="11">
        <v>24</v>
      </c>
      <c r="K26" s="12">
        <f t="shared" si="0"/>
        <v>0</v>
      </c>
      <c r="L26" s="56"/>
      <c r="M26" s="58"/>
      <c r="N26" s="58"/>
      <c r="O26" s="54"/>
      <c r="P26" s="55"/>
      <c r="R26" s="13">
        <f t="shared" si="1"/>
        <v>0</v>
      </c>
      <c r="S26" s="54"/>
      <c r="T26" s="54"/>
      <c r="U26" s="56"/>
      <c r="V26" s="54"/>
      <c r="W26" s="55"/>
    </row>
    <row r="27" spans="10:23" ht="15.75" customHeight="1" x14ac:dyDescent="0.3">
      <c r="J27" s="11">
        <v>25</v>
      </c>
      <c r="K27" s="12">
        <f t="shared" si="0"/>
        <v>0</v>
      </c>
      <c r="L27" s="56"/>
      <c r="M27" s="58"/>
      <c r="N27" s="57"/>
      <c r="O27" s="60"/>
      <c r="P27" s="61"/>
      <c r="R27" s="13">
        <f t="shared" si="1"/>
        <v>0</v>
      </c>
      <c r="S27" s="54"/>
      <c r="T27" s="54"/>
      <c r="U27" s="56"/>
      <c r="V27" s="54"/>
      <c r="W27" s="55"/>
    </row>
    <row r="28" spans="10:23" ht="15.75" customHeight="1" x14ac:dyDescent="0.3">
      <c r="J28" s="11">
        <v>26</v>
      </c>
      <c r="K28" s="12">
        <f t="shared" si="0"/>
        <v>0</v>
      </c>
      <c r="L28" s="59"/>
      <c r="M28" s="58"/>
      <c r="N28" s="58"/>
      <c r="O28" s="60"/>
      <c r="P28" s="61"/>
      <c r="R28" s="13">
        <f t="shared" si="1"/>
        <v>0</v>
      </c>
      <c r="S28" s="54"/>
      <c r="T28" s="54"/>
      <c r="U28" s="56"/>
      <c r="V28" s="54"/>
      <c r="W28" s="55"/>
    </row>
    <row r="29" spans="10:23" ht="15.75" customHeight="1" x14ac:dyDescent="0.3">
      <c r="J29" s="11">
        <v>27</v>
      </c>
      <c r="K29" s="12">
        <f t="shared" si="0"/>
        <v>0</v>
      </c>
      <c r="L29" s="56"/>
      <c r="M29" s="58"/>
      <c r="N29" s="58"/>
      <c r="O29" s="60"/>
      <c r="P29" s="61"/>
      <c r="R29" s="13">
        <f t="shared" si="1"/>
        <v>0</v>
      </c>
      <c r="S29" s="54"/>
      <c r="T29" s="54"/>
      <c r="U29" s="59"/>
      <c r="V29" s="54"/>
      <c r="W29" s="55"/>
    </row>
    <row r="30" spans="10:23" ht="15.75" customHeight="1" x14ac:dyDescent="0.3">
      <c r="J30" s="11">
        <v>28</v>
      </c>
      <c r="K30" s="12">
        <f t="shared" si="0"/>
        <v>0</v>
      </c>
      <c r="L30" s="59"/>
      <c r="M30" s="58"/>
      <c r="N30" s="58"/>
      <c r="O30" s="60"/>
      <c r="P30" s="61"/>
      <c r="R30" s="13">
        <f t="shared" si="1"/>
        <v>0</v>
      </c>
      <c r="S30" s="54"/>
      <c r="T30" s="54"/>
      <c r="U30" s="56"/>
      <c r="V30" s="54"/>
      <c r="W30" s="55"/>
    </row>
    <row r="31" spans="10:23" ht="15.75" customHeight="1" x14ac:dyDescent="0.3">
      <c r="J31" s="11">
        <v>29</v>
      </c>
      <c r="K31" s="12">
        <f t="shared" si="0"/>
        <v>0</v>
      </c>
      <c r="L31" s="56"/>
      <c r="M31" s="57"/>
      <c r="N31" s="58"/>
      <c r="O31" s="60"/>
      <c r="P31" s="61"/>
      <c r="R31" s="13">
        <f t="shared" si="1"/>
        <v>0</v>
      </c>
      <c r="S31" s="54"/>
      <c r="T31" s="54"/>
      <c r="U31" s="56"/>
      <c r="V31" s="54"/>
      <c r="W31" s="55"/>
    </row>
    <row r="32" spans="10:23" ht="15.75" customHeight="1" x14ac:dyDescent="0.3">
      <c r="J32" s="11">
        <v>30</v>
      </c>
      <c r="K32" s="12">
        <f t="shared" si="0"/>
        <v>0</v>
      </c>
      <c r="L32" s="56"/>
      <c r="M32" s="58"/>
      <c r="N32" s="58"/>
      <c r="O32" s="60"/>
      <c r="P32" s="61"/>
      <c r="R32" s="13">
        <f t="shared" si="1"/>
        <v>0</v>
      </c>
      <c r="S32" s="54"/>
      <c r="T32" s="54"/>
      <c r="U32" s="56"/>
      <c r="V32" s="54"/>
      <c r="W32" s="55"/>
    </row>
    <row r="33" spans="10:23" ht="15.75" customHeight="1" x14ac:dyDescent="0.3">
      <c r="J33" s="11">
        <v>31</v>
      </c>
      <c r="K33" s="12">
        <f t="shared" si="0"/>
        <v>0</v>
      </c>
      <c r="L33" s="56"/>
      <c r="M33" s="57"/>
      <c r="N33" s="58"/>
      <c r="O33" s="60"/>
      <c r="P33" s="61"/>
      <c r="R33" s="13">
        <f t="shared" si="1"/>
        <v>0</v>
      </c>
      <c r="S33" s="54"/>
      <c r="T33" s="54"/>
      <c r="U33" s="56"/>
      <c r="V33" s="54"/>
      <c r="W33" s="55"/>
    </row>
    <row r="34" spans="10:23" ht="15.75" customHeight="1" x14ac:dyDescent="0.3">
      <c r="J34" s="11">
        <v>32</v>
      </c>
      <c r="K34" s="12">
        <f t="shared" si="0"/>
        <v>0</v>
      </c>
      <c r="L34" s="56"/>
      <c r="M34" s="58"/>
      <c r="N34" s="58"/>
      <c r="O34" s="60"/>
      <c r="P34" s="61"/>
      <c r="R34" s="13">
        <f t="shared" si="1"/>
        <v>0</v>
      </c>
      <c r="S34" s="54"/>
      <c r="T34" s="54"/>
      <c r="U34" s="59"/>
      <c r="V34" s="54"/>
      <c r="W34" s="55"/>
    </row>
    <row r="35" spans="10:23" ht="15.75" customHeight="1" x14ac:dyDescent="0.3">
      <c r="J35" s="11">
        <v>33</v>
      </c>
      <c r="K35" s="12">
        <f t="shared" si="0"/>
        <v>0</v>
      </c>
      <c r="L35" s="56"/>
      <c r="M35" s="58"/>
      <c r="N35" s="58"/>
      <c r="O35" s="60"/>
      <c r="P35" s="61"/>
      <c r="R35" s="13">
        <f t="shared" si="1"/>
        <v>0</v>
      </c>
      <c r="S35" s="54"/>
      <c r="T35" s="54"/>
      <c r="U35" s="56"/>
      <c r="V35" s="54"/>
      <c r="W35" s="55"/>
    </row>
    <row r="36" spans="10:23" ht="15.75" customHeight="1" x14ac:dyDescent="0.3">
      <c r="J36" s="11">
        <v>34</v>
      </c>
      <c r="K36" s="12">
        <f t="shared" si="0"/>
        <v>0</v>
      </c>
      <c r="L36" s="56"/>
      <c r="M36" s="57"/>
      <c r="N36" s="58"/>
      <c r="O36" s="60"/>
      <c r="P36" s="61"/>
      <c r="R36" s="13">
        <f t="shared" si="1"/>
        <v>0</v>
      </c>
      <c r="S36" s="54"/>
      <c r="T36" s="54"/>
      <c r="U36" s="56"/>
      <c r="V36" s="54"/>
      <c r="W36" s="55"/>
    </row>
    <row r="37" spans="10:23" ht="15.75" customHeight="1" x14ac:dyDescent="0.3">
      <c r="J37" s="11">
        <v>35</v>
      </c>
      <c r="K37" s="12">
        <f t="shared" si="0"/>
        <v>0</v>
      </c>
      <c r="L37" s="56"/>
      <c r="M37" s="58"/>
      <c r="N37" s="58"/>
      <c r="O37" s="60"/>
      <c r="P37" s="61"/>
      <c r="R37" s="13">
        <f t="shared" si="1"/>
        <v>0</v>
      </c>
      <c r="S37" s="54"/>
      <c r="T37" s="54"/>
      <c r="U37" s="56"/>
      <c r="V37" s="54"/>
      <c r="W37" s="55"/>
    </row>
    <row r="38" spans="10:23" ht="15.75" customHeight="1" x14ac:dyDescent="0.3">
      <c r="J38" s="11">
        <v>36</v>
      </c>
      <c r="K38" s="12">
        <f t="shared" si="0"/>
        <v>0</v>
      </c>
      <c r="L38" s="56"/>
      <c r="M38" s="58"/>
      <c r="N38" s="58"/>
      <c r="O38" s="60"/>
      <c r="P38" s="61"/>
      <c r="R38" s="13">
        <f t="shared" si="1"/>
        <v>0</v>
      </c>
      <c r="S38" s="54"/>
      <c r="T38" s="54"/>
      <c r="U38" s="59"/>
      <c r="V38" s="54"/>
      <c r="W38" s="55"/>
    </row>
    <row r="39" spans="10:23" ht="15.75" customHeight="1" x14ac:dyDescent="0.3">
      <c r="J39" s="11">
        <v>37</v>
      </c>
      <c r="K39" s="12">
        <f t="shared" si="0"/>
        <v>0</v>
      </c>
      <c r="L39" s="56"/>
      <c r="M39" s="58"/>
      <c r="N39" s="58"/>
      <c r="O39" s="60"/>
      <c r="P39" s="61"/>
      <c r="R39" s="13">
        <f t="shared" si="1"/>
        <v>0</v>
      </c>
      <c r="S39" s="54"/>
      <c r="T39" s="54"/>
      <c r="U39" s="59"/>
      <c r="V39" s="54"/>
      <c r="W39" s="55"/>
    </row>
    <row r="40" spans="10:23" ht="15.75" customHeight="1" x14ac:dyDescent="0.3">
      <c r="J40" s="11">
        <v>38</v>
      </c>
      <c r="K40" s="12">
        <f t="shared" si="0"/>
        <v>0</v>
      </c>
      <c r="L40" s="56"/>
      <c r="M40" s="57"/>
      <c r="N40" s="58"/>
      <c r="O40" s="60"/>
      <c r="P40" s="61"/>
      <c r="R40" s="13">
        <f t="shared" si="1"/>
        <v>0</v>
      </c>
      <c r="S40" s="54"/>
      <c r="T40" s="54"/>
      <c r="U40" s="59"/>
      <c r="V40" s="54"/>
      <c r="W40" s="55"/>
    </row>
    <row r="41" spans="10:23" ht="15.75" customHeight="1" x14ac:dyDescent="0.3">
      <c r="J41" s="11">
        <v>39</v>
      </c>
      <c r="K41" s="12">
        <f t="shared" si="0"/>
        <v>0</v>
      </c>
      <c r="L41" s="56"/>
      <c r="M41" s="58"/>
      <c r="N41" s="58"/>
      <c r="O41" s="60"/>
      <c r="P41" s="61"/>
      <c r="R41" s="13">
        <f t="shared" si="1"/>
        <v>0</v>
      </c>
      <c r="S41" s="54"/>
      <c r="T41" s="54"/>
      <c r="U41" s="56"/>
      <c r="V41" s="54"/>
      <c r="W41" s="55"/>
    </row>
    <row r="42" spans="10:23" ht="15.75" customHeight="1" x14ac:dyDescent="0.3">
      <c r="J42" s="11">
        <v>40</v>
      </c>
      <c r="K42" s="12">
        <f t="shared" si="0"/>
        <v>0</v>
      </c>
      <c r="L42" s="56"/>
      <c r="M42" s="57"/>
      <c r="N42" s="57"/>
      <c r="O42" s="60"/>
      <c r="P42" s="61"/>
      <c r="R42" s="13">
        <f t="shared" si="1"/>
        <v>0</v>
      </c>
      <c r="S42" s="54"/>
      <c r="T42" s="54"/>
      <c r="U42" s="56"/>
      <c r="V42" s="54"/>
      <c r="W42" s="55"/>
    </row>
    <row r="43" spans="10:23" ht="15.75" customHeight="1" x14ac:dyDescent="0.3">
      <c r="J43" s="11">
        <v>41</v>
      </c>
      <c r="K43" s="12">
        <f t="shared" si="0"/>
        <v>0</v>
      </c>
      <c r="L43" s="56"/>
      <c r="M43" s="57"/>
      <c r="N43" s="58"/>
      <c r="O43" s="60"/>
      <c r="P43" s="61"/>
      <c r="R43" s="13">
        <f t="shared" si="1"/>
        <v>0</v>
      </c>
      <c r="S43" s="54"/>
      <c r="T43" s="54"/>
      <c r="U43" s="56"/>
      <c r="V43" s="54"/>
      <c r="W43" s="55"/>
    </row>
    <row r="44" spans="10:23" ht="15.75" customHeight="1" x14ac:dyDescent="0.3">
      <c r="J44" s="11">
        <v>42</v>
      </c>
      <c r="K44" s="12">
        <f t="shared" si="0"/>
        <v>0</v>
      </c>
      <c r="L44" s="56"/>
      <c r="M44" s="57"/>
      <c r="N44" s="58"/>
      <c r="O44" s="60"/>
      <c r="P44" s="61"/>
      <c r="R44" s="13">
        <f t="shared" si="1"/>
        <v>0</v>
      </c>
      <c r="S44" s="54"/>
      <c r="T44" s="54"/>
      <c r="U44" s="59"/>
      <c r="V44" s="54"/>
      <c r="W44" s="55"/>
    </row>
    <row r="45" spans="10:23" ht="15.75" customHeight="1" x14ac:dyDescent="0.3">
      <c r="J45" s="11">
        <v>43</v>
      </c>
      <c r="K45" s="12">
        <f t="shared" si="0"/>
        <v>0</v>
      </c>
      <c r="L45" s="56"/>
      <c r="M45" s="57"/>
      <c r="N45" s="58"/>
      <c r="O45" s="60"/>
      <c r="P45" s="61"/>
      <c r="R45" s="13">
        <f t="shared" si="1"/>
        <v>0</v>
      </c>
      <c r="S45" s="54"/>
      <c r="T45" s="54"/>
      <c r="U45" s="59"/>
      <c r="V45" s="54"/>
      <c r="W45" s="55"/>
    </row>
    <row r="46" spans="10:23" ht="15.75" customHeight="1" x14ac:dyDescent="0.3">
      <c r="J46" s="11">
        <v>44</v>
      </c>
      <c r="K46" s="12">
        <f t="shared" si="0"/>
        <v>0</v>
      </c>
      <c r="L46" s="56"/>
      <c r="M46" s="57"/>
      <c r="N46" s="58"/>
      <c r="O46" s="60"/>
      <c r="P46" s="61"/>
      <c r="R46" s="13">
        <f t="shared" si="1"/>
        <v>0</v>
      </c>
      <c r="S46" s="54"/>
      <c r="T46" s="54"/>
      <c r="U46" s="59"/>
      <c r="V46" s="54"/>
      <c r="W46" s="55"/>
    </row>
    <row r="47" spans="10:23" ht="15.75" customHeight="1" x14ac:dyDescent="0.3">
      <c r="J47" s="11">
        <v>45</v>
      </c>
      <c r="K47" s="12">
        <f t="shared" si="0"/>
        <v>0</v>
      </c>
      <c r="L47" s="56"/>
      <c r="M47" s="58"/>
      <c r="N47" s="58"/>
      <c r="O47" s="60"/>
      <c r="P47" s="61"/>
      <c r="R47" s="13">
        <f t="shared" si="1"/>
        <v>0</v>
      </c>
      <c r="S47" s="54"/>
      <c r="T47" s="54"/>
      <c r="U47" s="56"/>
      <c r="V47" s="54"/>
      <c r="W47" s="55"/>
    </row>
    <row r="48" spans="10:23" ht="15.75" customHeight="1" x14ac:dyDescent="0.3">
      <c r="J48" s="11">
        <v>46</v>
      </c>
      <c r="K48" s="12">
        <f t="shared" si="0"/>
        <v>0</v>
      </c>
      <c r="L48" s="56"/>
      <c r="M48" s="57"/>
      <c r="N48" s="58"/>
      <c r="O48" s="60"/>
      <c r="P48" s="61"/>
      <c r="R48" s="13">
        <f t="shared" si="1"/>
        <v>0</v>
      </c>
      <c r="S48" s="54"/>
      <c r="T48" s="54"/>
      <c r="U48" s="59"/>
      <c r="V48" s="54"/>
      <c r="W48" s="55"/>
    </row>
    <row r="49" spans="10:23" ht="15.75" customHeight="1" x14ac:dyDescent="0.3">
      <c r="J49" s="11">
        <v>47</v>
      </c>
      <c r="K49" s="12">
        <f t="shared" si="0"/>
        <v>0</v>
      </c>
      <c r="L49" s="56"/>
      <c r="M49" s="57"/>
      <c r="N49" s="57"/>
      <c r="O49" s="60"/>
      <c r="P49" s="61"/>
      <c r="R49" s="13">
        <f t="shared" si="1"/>
        <v>0</v>
      </c>
      <c r="S49" s="54"/>
      <c r="T49" s="54"/>
      <c r="U49" s="59"/>
      <c r="V49" s="54"/>
      <c r="W49" s="55"/>
    </row>
    <row r="50" spans="10:23" ht="15.75" customHeight="1" x14ac:dyDescent="0.3">
      <c r="J50" s="11">
        <v>48</v>
      </c>
      <c r="K50" s="12">
        <f t="shared" si="0"/>
        <v>0</v>
      </c>
      <c r="L50" s="56"/>
      <c r="M50" s="58"/>
      <c r="N50" s="58"/>
      <c r="O50" s="60"/>
      <c r="P50" s="61"/>
      <c r="R50" s="13">
        <f t="shared" si="1"/>
        <v>0</v>
      </c>
      <c r="S50" s="54"/>
      <c r="T50" s="54"/>
      <c r="U50" s="56"/>
      <c r="V50" s="54"/>
      <c r="W50" s="55"/>
    </row>
    <row r="51" spans="10:23" ht="15.75" customHeight="1" x14ac:dyDescent="0.3">
      <c r="J51" s="11">
        <v>49</v>
      </c>
      <c r="K51" s="12">
        <f t="shared" si="0"/>
        <v>0</v>
      </c>
      <c r="L51" s="56"/>
      <c r="M51" s="58"/>
      <c r="N51" s="58"/>
      <c r="O51" s="60"/>
      <c r="P51" s="61"/>
      <c r="R51" s="13">
        <f t="shared" si="1"/>
        <v>0</v>
      </c>
      <c r="S51" s="54"/>
      <c r="T51" s="54"/>
      <c r="U51" s="56"/>
      <c r="V51" s="54"/>
      <c r="W51" s="55"/>
    </row>
    <row r="52" spans="10:23" ht="15.75" customHeight="1" x14ac:dyDescent="0.3">
      <c r="J52" s="11">
        <v>50</v>
      </c>
      <c r="K52" s="12">
        <f t="shared" si="0"/>
        <v>0</v>
      </c>
      <c r="L52" s="56"/>
      <c r="M52" s="58"/>
      <c r="N52" s="58"/>
      <c r="O52" s="60"/>
      <c r="P52" s="61"/>
      <c r="R52" s="13">
        <f t="shared" si="1"/>
        <v>0</v>
      </c>
      <c r="S52" s="54"/>
      <c r="T52" s="54"/>
      <c r="U52" s="56"/>
      <c r="V52" s="54"/>
      <c r="W52" s="55"/>
    </row>
    <row r="53" spans="10:23" ht="15.75" customHeight="1" x14ac:dyDescent="0.3">
      <c r="J53" s="11">
        <v>51</v>
      </c>
      <c r="K53" s="12">
        <f t="shared" si="0"/>
        <v>0</v>
      </c>
      <c r="L53" s="56"/>
      <c r="M53" s="58"/>
      <c r="N53" s="58"/>
      <c r="O53" s="60"/>
      <c r="P53" s="61"/>
      <c r="R53" s="13">
        <f t="shared" si="1"/>
        <v>0</v>
      </c>
      <c r="S53" s="54"/>
      <c r="T53" s="54"/>
      <c r="U53" s="56"/>
      <c r="V53" s="54"/>
      <c r="W53" s="55"/>
    </row>
    <row r="54" spans="10:23" ht="15.75" customHeight="1" x14ac:dyDescent="0.3">
      <c r="J54" s="11">
        <v>52</v>
      </c>
      <c r="K54" s="12">
        <f t="shared" si="0"/>
        <v>0</v>
      </c>
      <c r="L54" s="56"/>
      <c r="M54" s="58"/>
      <c r="N54" s="58"/>
      <c r="O54" s="60"/>
      <c r="P54" s="61"/>
      <c r="R54" s="13">
        <f t="shared" si="1"/>
        <v>0</v>
      </c>
      <c r="S54" s="54"/>
      <c r="T54" s="54"/>
      <c r="U54" s="56"/>
      <c r="V54" s="54"/>
      <c r="W54" s="55"/>
    </row>
    <row r="55" spans="10:23" ht="15.75" customHeight="1" x14ac:dyDescent="0.3">
      <c r="J55" s="11">
        <v>53</v>
      </c>
      <c r="K55" s="12">
        <f t="shared" si="0"/>
        <v>0</v>
      </c>
      <c r="L55" s="56"/>
      <c r="M55" s="58"/>
      <c r="N55" s="58"/>
      <c r="O55" s="60"/>
      <c r="P55" s="61"/>
      <c r="R55" s="13">
        <f t="shared" si="1"/>
        <v>0</v>
      </c>
      <c r="S55" s="54"/>
      <c r="T55" s="54"/>
      <c r="U55" s="56"/>
      <c r="V55" s="54"/>
      <c r="W55" s="55"/>
    </row>
    <row r="56" spans="10:23" ht="15.75" customHeight="1" x14ac:dyDescent="0.3">
      <c r="J56" s="11">
        <v>54</v>
      </c>
      <c r="K56" s="12">
        <f t="shared" si="0"/>
        <v>0</v>
      </c>
      <c r="L56" s="56"/>
      <c r="M56" s="58"/>
      <c r="N56" s="58"/>
      <c r="O56" s="60"/>
      <c r="P56" s="61"/>
      <c r="R56" s="13">
        <f t="shared" si="1"/>
        <v>0</v>
      </c>
      <c r="S56" s="54"/>
      <c r="T56" s="54"/>
      <c r="U56" s="56"/>
      <c r="V56" s="54"/>
      <c r="W56" s="55"/>
    </row>
    <row r="57" spans="10:23" ht="15.75" customHeight="1" x14ac:dyDescent="0.3">
      <c r="J57" s="17">
        <v>55</v>
      </c>
      <c r="K57" s="21">
        <f t="shared" si="0"/>
        <v>0</v>
      </c>
      <c r="L57" s="62"/>
      <c r="M57" s="63"/>
      <c r="N57" s="63"/>
      <c r="O57" s="64"/>
      <c r="P57" s="65"/>
      <c r="R57" s="22">
        <f t="shared" si="1"/>
        <v>0</v>
      </c>
      <c r="S57" s="67"/>
      <c r="T57" s="67"/>
      <c r="U57" s="62"/>
      <c r="V57" s="67"/>
      <c r="W57" s="68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S1:S2"/>
    <mergeCell ref="T1:T2"/>
    <mergeCell ref="U1:U2"/>
    <mergeCell ref="V1:V2"/>
    <mergeCell ref="W1:W2"/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100-000000000000}">
          <x14:formula1>
            <xm:f>DADOS!$B$2:$B$5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L1000"/>
  <sheetViews>
    <sheetView showGridLines="0" tabSelected="1" zoomScale="85" zoomScaleNormal="85" workbookViewId="0">
      <selection activeCell="A11" sqref="A11"/>
    </sheetView>
  </sheetViews>
  <sheetFormatPr defaultColWidth="14.44140625" defaultRowHeight="15" customHeight="1" x14ac:dyDescent="0.3"/>
  <cols>
    <col min="1" max="1" width="21.88671875" customWidth="1"/>
    <col min="2" max="2" width="33" customWidth="1"/>
    <col min="3" max="3" width="14" customWidth="1"/>
    <col min="4" max="4" width="18.109375" customWidth="1"/>
    <col min="5" max="6" width="20.33203125" customWidth="1"/>
    <col min="7" max="7" width="21.44140625" customWidth="1"/>
    <col min="8" max="8" width="12.88671875" customWidth="1"/>
    <col min="9" max="9" width="22" customWidth="1"/>
    <col min="10" max="10" width="9.33203125" customWidth="1"/>
    <col min="11" max="11" width="10.6640625" customWidth="1"/>
    <col min="12" max="26" width="8.6640625" customWidth="1"/>
  </cols>
  <sheetData>
    <row r="1" spans="1:12" ht="15" customHeight="1" x14ac:dyDescent="0.3">
      <c r="A1" s="23" t="s">
        <v>26</v>
      </c>
      <c r="B1" s="24" t="s">
        <v>264</v>
      </c>
      <c r="G1" s="100" t="s">
        <v>27</v>
      </c>
    </row>
    <row r="2" spans="1:12" ht="14.4" x14ac:dyDescent="0.3">
      <c r="G2" s="78"/>
    </row>
    <row r="3" spans="1:12" ht="14.4" x14ac:dyDescent="0.3">
      <c r="A3" s="23" t="s">
        <v>28</v>
      </c>
      <c r="B3" s="25" t="s">
        <v>238</v>
      </c>
      <c r="D3" s="97" t="s">
        <v>30</v>
      </c>
      <c r="E3" s="96"/>
      <c r="F3" s="26">
        <v>75</v>
      </c>
      <c r="G3" s="27">
        <f>(F5)/F3</f>
        <v>1.0640000000000001</v>
      </c>
    </row>
    <row r="4" spans="1:12" ht="28.8" x14ac:dyDescent="0.3">
      <c r="A4" s="28" t="s">
        <v>31</v>
      </c>
      <c r="B4" s="29">
        <f>VLOOKUP(B3,'BASE DE DADOS'!P:R,2,0)</f>
        <v>3.5000000000000003E-2</v>
      </c>
      <c r="D4" s="94" t="s">
        <v>32</v>
      </c>
      <c r="E4" s="96"/>
      <c r="F4" s="25" t="s">
        <v>265</v>
      </c>
    </row>
    <row r="5" spans="1:12" ht="30" customHeight="1" x14ac:dyDescent="0.3">
      <c r="A5" s="28" t="s">
        <v>33</v>
      </c>
      <c r="B5" s="30">
        <v>1</v>
      </c>
      <c r="D5" s="101" t="s">
        <v>34</v>
      </c>
      <c r="E5" s="96"/>
      <c r="F5" s="31">
        <f>SUM(ATUAL!K3:K57)+SUM(ATUAL!R3:R57)</f>
        <v>79.8</v>
      </c>
    </row>
    <row r="7" spans="1:12" ht="14.4" x14ac:dyDescent="0.3">
      <c r="A7" s="97" t="s">
        <v>35</v>
      </c>
      <c r="B7" s="95"/>
      <c r="C7" s="96"/>
      <c r="D7" s="97" t="s">
        <v>36</v>
      </c>
      <c r="E7" s="95"/>
      <c r="F7" s="95"/>
      <c r="G7" s="95"/>
      <c r="H7" s="96"/>
      <c r="I7" s="93" t="s">
        <v>37</v>
      </c>
      <c r="J7" s="94" t="s">
        <v>38</v>
      </c>
      <c r="K7" s="95"/>
      <c r="L7" s="96"/>
    </row>
    <row r="8" spans="1:12" ht="30" customHeight="1" x14ac:dyDescent="0.3">
      <c r="A8" s="32" t="s">
        <v>7</v>
      </c>
      <c r="B8" s="98" t="s">
        <v>39</v>
      </c>
      <c r="C8" s="32" t="s">
        <v>40</v>
      </c>
      <c r="D8" s="99" t="s">
        <v>41</v>
      </c>
      <c r="E8" s="95"/>
      <c r="F8" s="96"/>
      <c r="G8" s="28" t="s">
        <v>42</v>
      </c>
      <c r="H8" s="33" t="s">
        <v>43</v>
      </c>
      <c r="I8" s="78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78"/>
      <c r="C9" s="23" t="s">
        <v>47</v>
      </c>
      <c r="D9" s="97" t="s">
        <v>48</v>
      </c>
      <c r="E9" s="95"/>
      <c r="F9" s="96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 t="s">
        <v>23</v>
      </c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35" t="s">
        <v>23</v>
      </c>
      <c r="C11" s="36">
        <v>0.35</v>
      </c>
      <c r="D11" s="31">
        <f>ATUAL!K4</f>
        <v>0</v>
      </c>
      <c r="E11" s="31">
        <f>ATUAL!R4</f>
        <v>0</v>
      </c>
      <c r="F11" s="31">
        <f>D11+E11</f>
        <v>0</v>
      </c>
      <c r="G11" s="31">
        <f t="shared" ref="G11:G64" si="0">SUMIF($B$11:$B$64,A11,$G$11:$G$64)+F11</f>
        <v>4.8000000000000007</v>
      </c>
      <c r="H11" s="31">
        <f>(G11-(D11/2))*C11</f>
        <v>1.6800000000000002</v>
      </c>
      <c r="I11" s="37" t="s">
        <v>74</v>
      </c>
      <c r="J11" s="30">
        <f>IFERROR(VLOOKUP(I11,'BASE DE DADOS'!$A$4:$B$83,2,0)," ")</f>
        <v>0.1784</v>
      </c>
      <c r="K11" s="31">
        <f t="shared" ref="K11:K64" si="1">IFERROR(H11*J11," ")</f>
        <v>0.29971200000000003</v>
      </c>
      <c r="L11" s="38">
        <f t="shared" ref="L11:L64" si="2">IFERROR(IF(B11="TRAFO",K11,SUMIFS($L$11:$L$64,$A$11:$A$64,B11)+K11)," ")</f>
        <v>0.29971200000000003</v>
      </c>
    </row>
    <row r="12" spans="1:12" ht="14.4" x14ac:dyDescent="0.3">
      <c r="A12" s="30">
        <v>3</v>
      </c>
      <c r="B12" s="20">
        <v>2</v>
      </c>
      <c r="C12" s="39">
        <v>0.12</v>
      </c>
      <c r="D12" s="31">
        <f>ATUAL!K5</f>
        <v>0</v>
      </c>
      <c r="E12" s="31">
        <f>ATUAL!R5</f>
        <v>0</v>
      </c>
      <c r="F12" s="31">
        <f t="shared" ref="F12:F64" si="3">D12+E12</f>
        <v>0</v>
      </c>
      <c r="G12" s="31">
        <f t="shared" si="0"/>
        <v>4.8000000000000007</v>
      </c>
      <c r="H12" s="31">
        <f t="shared" ref="H12:H64" si="4">(G12-(D12/2))*C12</f>
        <v>0.57600000000000007</v>
      </c>
      <c r="I12" s="37" t="s">
        <v>74</v>
      </c>
      <c r="J12" s="30">
        <f>IFERROR(VLOOKUP(I12,'BASE DE DADOS'!$A$4:$B$83,2,0)," ")</f>
        <v>0.1784</v>
      </c>
      <c r="K12" s="31">
        <f t="shared" si="1"/>
        <v>0.10275840000000001</v>
      </c>
      <c r="L12" s="38">
        <f t="shared" si="2"/>
        <v>0.40247040000000006</v>
      </c>
    </row>
    <row r="13" spans="1:12" ht="14.4" x14ac:dyDescent="0.3">
      <c r="A13" s="30">
        <v>4</v>
      </c>
      <c r="B13" s="20">
        <v>3</v>
      </c>
      <c r="C13" s="39">
        <v>0.4</v>
      </c>
      <c r="D13" s="31">
        <f>ATUAL!K6</f>
        <v>0</v>
      </c>
      <c r="E13" s="31">
        <f>ATUAL!R6</f>
        <v>0</v>
      </c>
      <c r="F13" s="31">
        <f t="shared" si="3"/>
        <v>0</v>
      </c>
      <c r="G13" s="31">
        <f t="shared" si="0"/>
        <v>4.8000000000000007</v>
      </c>
      <c r="H13" s="31">
        <f t="shared" si="4"/>
        <v>1.9200000000000004</v>
      </c>
      <c r="I13" s="37" t="s">
        <v>74</v>
      </c>
      <c r="J13" s="30">
        <f>IFERROR(VLOOKUP(I13,'BASE DE DADOS'!$A$4:$B$83,2,0)," ")</f>
        <v>0.1784</v>
      </c>
      <c r="K13" s="31">
        <f t="shared" si="1"/>
        <v>0.34252800000000005</v>
      </c>
      <c r="L13" s="38">
        <f t="shared" si="2"/>
        <v>0.74499840000000006</v>
      </c>
    </row>
    <row r="14" spans="1:12" ht="14.4" x14ac:dyDescent="0.3">
      <c r="A14" s="30">
        <v>5</v>
      </c>
      <c r="B14" s="20">
        <v>4</v>
      </c>
      <c r="C14" s="39">
        <v>0.4</v>
      </c>
      <c r="D14" s="31">
        <f>ATUAL!K7</f>
        <v>1.6</v>
      </c>
      <c r="E14" s="31">
        <f>ATUAL!R7</f>
        <v>0</v>
      </c>
      <c r="F14" s="31">
        <f t="shared" si="3"/>
        <v>1.6</v>
      </c>
      <c r="G14" s="31">
        <f t="shared" si="0"/>
        <v>4.8000000000000007</v>
      </c>
      <c r="H14" s="31">
        <f t="shared" si="4"/>
        <v>1.6000000000000005</v>
      </c>
      <c r="I14" s="37" t="s">
        <v>74</v>
      </c>
      <c r="J14" s="30">
        <f>IFERROR(VLOOKUP(I14,'BASE DE DADOS'!$A$4:$B$83,2,0)," ")</f>
        <v>0.1784</v>
      </c>
      <c r="K14" s="31">
        <f t="shared" si="1"/>
        <v>0.28544000000000008</v>
      </c>
      <c r="L14" s="38">
        <f t="shared" si="2"/>
        <v>1.0304384000000002</v>
      </c>
    </row>
    <row r="15" spans="1:12" ht="14.4" x14ac:dyDescent="0.3">
      <c r="A15" s="30">
        <v>6</v>
      </c>
      <c r="B15" s="20">
        <v>5</v>
      </c>
      <c r="C15" s="39">
        <v>0.4</v>
      </c>
      <c r="D15" s="31">
        <f>ATUAL!K8</f>
        <v>3.2</v>
      </c>
      <c r="E15" s="31">
        <f>ATUAL!R8</f>
        <v>0</v>
      </c>
      <c r="F15" s="31">
        <f t="shared" si="3"/>
        <v>3.2</v>
      </c>
      <c r="G15" s="31">
        <f t="shared" si="0"/>
        <v>3.2</v>
      </c>
      <c r="H15" s="31">
        <f t="shared" si="4"/>
        <v>0.64000000000000012</v>
      </c>
      <c r="I15" s="37" t="s">
        <v>74</v>
      </c>
      <c r="J15" s="30">
        <f>IFERROR(VLOOKUP(I15,'BASE DE DADOS'!$A$4:$B$83,2,0)," ")</f>
        <v>0.1784</v>
      </c>
      <c r="K15" s="31">
        <f t="shared" si="1"/>
        <v>0.11417600000000003</v>
      </c>
      <c r="L15" s="38">
        <f t="shared" si="2"/>
        <v>1.1446144000000003</v>
      </c>
    </row>
    <row r="16" spans="1:12" ht="14.4" x14ac:dyDescent="0.3">
      <c r="A16" s="30">
        <v>7</v>
      </c>
      <c r="B16" s="20"/>
      <c r="C16" s="39"/>
      <c r="D16" s="31">
        <f>ATUAL!K9</f>
        <v>0</v>
      </c>
      <c r="E16" s="31">
        <f>ATUAL!R9</f>
        <v>0</v>
      </c>
      <c r="F16" s="31">
        <f t="shared" si="3"/>
        <v>0</v>
      </c>
      <c r="G16" s="31">
        <f t="shared" si="0"/>
        <v>0</v>
      </c>
      <c r="H16" s="31">
        <f t="shared" si="4"/>
        <v>0</v>
      </c>
      <c r="I16" s="40"/>
      <c r="J16" s="30" t="str">
        <f>IFERROR(VLOOKUP(I16,'BASE DE DADOS'!$A$4:$B$83,2,0)," ")</f>
        <v xml:space="preserve"> </v>
      </c>
      <c r="K16" s="31" t="str">
        <f t="shared" si="1"/>
        <v xml:space="preserve"> </v>
      </c>
      <c r="L16" s="38" t="str">
        <f t="shared" si="2"/>
        <v xml:space="preserve"> </v>
      </c>
    </row>
    <row r="17" spans="1:12" ht="14.4" x14ac:dyDescent="0.3">
      <c r="A17" s="30">
        <v>8</v>
      </c>
      <c r="B17" s="20"/>
      <c r="C17" s="39"/>
      <c r="D17" s="31">
        <f>ATUAL!K10</f>
        <v>0</v>
      </c>
      <c r="E17" s="31">
        <f>ATUAL!R10</f>
        <v>0</v>
      </c>
      <c r="F17" s="31">
        <f t="shared" si="3"/>
        <v>0</v>
      </c>
      <c r="G17" s="31">
        <f t="shared" si="0"/>
        <v>0</v>
      </c>
      <c r="H17" s="31">
        <f t="shared" si="4"/>
        <v>0</v>
      </c>
      <c r="I17" s="40"/>
      <c r="J17" s="30" t="str">
        <f>IFERROR(VLOOKUP(I17,'BASE DE DADOS'!$A$4:$B$83,2,0)," ")</f>
        <v xml:space="preserve"> </v>
      </c>
      <c r="K17" s="31" t="str">
        <f t="shared" si="1"/>
        <v xml:space="preserve"> </v>
      </c>
      <c r="L17" s="38" t="str">
        <f t="shared" si="2"/>
        <v xml:space="preserve"> </v>
      </c>
    </row>
    <row r="18" spans="1:12" ht="14.4" x14ac:dyDescent="0.3">
      <c r="A18" s="30">
        <v>9</v>
      </c>
      <c r="B18" s="20"/>
      <c r="C18" s="39"/>
      <c r="D18" s="31">
        <f>ATUAL!K11</f>
        <v>0</v>
      </c>
      <c r="E18" s="31">
        <f>ATUAL!R11</f>
        <v>0</v>
      </c>
      <c r="F18" s="31">
        <f t="shared" si="3"/>
        <v>0</v>
      </c>
      <c r="G18" s="31">
        <f t="shared" si="0"/>
        <v>0</v>
      </c>
      <c r="H18" s="31">
        <f t="shared" si="4"/>
        <v>0</v>
      </c>
      <c r="I18" s="40"/>
      <c r="J18" s="30" t="str">
        <f>IFERROR(VLOOKUP(I18,'BASE DE DADOS'!$A$4:$B$83,2,0)," ")</f>
        <v xml:space="preserve"> </v>
      </c>
      <c r="K18" s="31" t="str">
        <f t="shared" si="1"/>
        <v xml:space="preserve"> </v>
      </c>
      <c r="L18" s="38" t="str">
        <f t="shared" si="2"/>
        <v xml:space="preserve"> </v>
      </c>
    </row>
    <row r="19" spans="1:12" ht="14.4" x14ac:dyDescent="0.3">
      <c r="A19" s="30">
        <v>10</v>
      </c>
      <c r="B19" s="20"/>
      <c r="C19" s="39"/>
      <c r="D19" s="31">
        <f>ATUAL!K12</f>
        <v>0</v>
      </c>
      <c r="E19" s="31">
        <f>ATUAL!R12</f>
        <v>0</v>
      </c>
      <c r="F19" s="31">
        <f t="shared" si="3"/>
        <v>0</v>
      </c>
      <c r="G19" s="31">
        <f t="shared" si="0"/>
        <v>0</v>
      </c>
      <c r="H19" s="31">
        <f t="shared" si="4"/>
        <v>0</v>
      </c>
      <c r="I19" s="40"/>
      <c r="J19" s="30" t="str">
        <f>IFERROR(VLOOKUP(I19,'BASE DE DADOS'!$A$4:$B$83,2,0)," ")</f>
        <v xml:space="preserve"> </v>
      </c>
      <c r="K19" s="31" t="str">
        <f t="shared" si="1"/>
        <v xml:space="preserve"> </v>
      </c>
      <c r="L19" s="38" t="str">
        <f t="shared" si="2"/>
        <v xml:space="preserve"> </v>
      </c>
    </row>
    <row r="20" spans="1:12" ht="14.4" x14ac:dyDescent="0.3">
      <c r="A20" s="30">
        <v>11</v>
      </c>
      <c r="B20" s="20"/>
      <c r="C20" s="39"/>
      <c r="D20" s="31">
        <f>ATUAL!K13</f>
        <v>0</v>
      </c>
      <c r="E20" s="31">
        <f>ATUAL!R13</f>
        <v>0</v>
      </c>
      <c r="F20" s="31">
        <f t="shared" si="3"/>
        <v>0</v>
      </c>
      <c r="G20" s="31">
        <f t="shared" si="0"/>
        <v>0</v>
      </c>
      <c r="H20" s="31">
        <f t="shared" si="4"/>
        <v>0</v>
      </c>
      <c r="I20" s="40"/>
      <c r="J20" s="30" t="str">
        <f>IFERROR(VLOOKUP(I20,'BASE DE DADOS'!$A$4:$B$83,2,0)," ")</f>
        <v xml:space="preserve"> </v>
      </c>
      <c r="K20" s="31" t="str">
        <f t="shared" si="1"/>
        <v xml:space="preserve"> </v>
      </c>
      <c r="L20" s="38" t="str">
        <f t="shared" si="2"/>
        <v xml:space="preserve"> </v>
      </c>
    </row>
    <row r="21" spans="1:12" ht="15.75" customHeight="1" x14ac:dyDescent="0.3">
      <c r="A21" s="30">
        <v>12</v>
      </c>
      <c r="B21" s="20"/>
      <c r="C21" s="39"/>
      <c r="D21" s="31">
        <f>ATUAL!K14</f>
        <v>0</v>
      </c>
      <c r="E21" s="31">
        <f>ATUAL!R14</f>
        <v>0</v>
      </c>
      <c r="F21" s="31">
        <f t="shared" si="3"/>
        <v>0</v>
      </c>
      <c r="G21" s="31">
        <f t="shared" si="0"/>
        <v>0</v>
      </c>
      <c r="H21" s="31">
        <f t="shared" si="4"/>
        <v>0</v>
      </c>
      <c r="I21" s="40"/>
      <c r="J21" s="30" t="str">
        <f>IFERROR(VLOOKUP(I21,'BASE DE DADOS'!$A$4:$B$83,2,0)," ")</f>
        <v xml:space="preserve"> </v>
      </c>
      <c r="K21" s="31" t="str">
        <f t="shared" si="1"/>
        <v xml:space="preserve"> </v>
      </c>
      <c r="L21" s="38" t="str">
        <f t="shared" si="2"/>
        <v xml:space="preserve"> </v>
      </c>
    </row>
    <row r="22" spans="1:12" ht="15.75" customHeight="1" x14ac:dyDescent="0.3">
      <c r="A22" s="30">
        <v>13</v>
      </c>
      <c r="B22" s="20"/>
      <c r="C22" s="39"/>
      <c r="D22" s="31">
        <f>ATUAL!K15</f>
        <v>0</v>
      </c>
      <c r="E22" s="31">
        <f>ATUAL!R15</f>
        <v>0</v>
      </c>
      <c r="F22" s="31">
        <f t="shared" si="3"/>
        <v>0</v>
      </c>
      <c r="G22" s="31">
        <f t="shared" si="0"/>
        <v>0</v>
      </c>
      <c r="H22" s="31">
        <f t="shared" si="4"/>
        <v>0</v>
      </c>
      <c r="I22" s="40"/>
      <c r="J22" s="30" t="str">
        <f>IFERROR(VLOOKUP(I22,'BASE DE DADOS'!$A$4:$B$83,2,0)," ")</f>
        <v xml:space="preserve"> </v>
      </c>
      <c r="K22" s="31" t="str">
        <f t="shared" si="1"/>
        <v xml:space="preserve"> </v>
      </c>
      <c r="L22" s="38" t="str">
        <f t="shared" si="2"/>
        <v xml:space="preserve"> </v>
      </c>
    </row>
    <row r="23" spans="1:12" ht="15.75" customHeight="1" x14ac:dyDescent="0.3">
      <c r="A23" s="30">
        <v>14</v>
      </c>
      <c r="B23" s="20"/>
      <c r="C23" s="39"/>
      <c r="D23" s="31">
        <f>ATUAL!K16</f>
        <v>0</v>
      </c>
      <c r="E23" s="31">
        <f>ATUAL!R16</f>
        <v>0</v>
      </c>
      <c r="F23" s="31">
        <f t="shared" si="3"/>
        <v>0</v>
      </c>
      <c r="G23" s="31">
        <f t="shared" si="0"/>
        <v>0</v>
      </c>
      <c r="H23" s="31">
        <f t="shared" si="4"/>
        <v>0</v>
      </c>
      <c r="I23" s="40"/>
      <c r="J23" s="30" t="str">
        <f>IFERROR(VLOOKUP(I23,'BASE DE DADOS'!$A$4:$B$83,2,0)," ")</f>
        <v xml:space="preserve"> </v>
      </c>
      <c r="K23" s="31" t="str">
        <f t="shared" si="1"/>
        <v xml:space="preserve"> </v>
      </c>
      <c r="L23" s="38" t="str">
        <f t="shared" si="2"/>
        <v xml:space="preserve"> </v>
      </c>
    </row>
    <row r="24" spans="1:12" ht="15.75" customHeight="1" x14ac:dyDescent="0.3">
      <c r="A24" s="30">
        <v>15</v>
      </c>
      <c r="B24" s="20"/>
      <c r="C24" s="39"/>
      <c r="D24" s="31">
        <f>ATUAL!K17</f>
        <v>0</v>
      </c>
      <c r="E24" s="31">
        <f>ATUAL!R17</f>
        <v>0</v>
      </c>
      <c r="F24" s="31">
        <f t="shared" si="3"/>
        <v>0</v>
      </c>
      <c r="G24" s="31">
        <f t="shared" si="0"/>
        <v>0</v>
      </c>
      <c r="H24" s="31">
        <f t="shared" si="4"/>
        <v>0</v>
      </c>
      <c r="I24" s="40"/>
      <c r="J24" s="30" t="str">
        <f>IFERROR(VLOOKUP(I24,'BASE DE DADOS'!$A$4:$B$83,2,0)," ")</f>
        <v xml:space="preserve"> </v>
      </c>
      <c r="K24" s="31" t="str">
        <f t="shared" si="1"/>
        <v xml:space="preserve"> </v>
      </c>
      <c r="L24" s="38" t="str">
        <f t="shared" si="2"/>
        <v xml:space="preserve"> </v>
      </c>
    </row>
    <row r="25" spans="1:12" ht="15.75" customHeight="1" x14ac:dyDescent="0.3">
      <c r="A25" s="30">
        <v>16</v>
      </c>
      <c r="B25" s="20"/>
      <c r="C25" s="39"/>
      <c r="D25" s="31">
        <f>ATUAL!K18</f>
        <v>0</v>
      </c>
      <c r="E25" s="31">
        <f>ATUAL!R18</f>
        <v>0</v>
      </c>
      <c r="F25" s="31">
        <f t="shared" si="3"/>
        <v>0</v>
      </c>
      <c r="G25" s="31">
        <f t="shared" si="0"/>
        <v>0</v>
      </c>
      <c r="H25" s="31">
        <f t="shared" si="4"/>
        <v>0</v>
      </c>
      <c r="I25" s="40"/>
      <c r="J25" s="30" t="str">
        <f>IFERROR(VLOOKUP(I25,'BASE DE DADOS'!$A$4:$B$83,2,0)," ")</f>
        <v xml:space="preserve"> </v>
      </c>
      <c r="K25" s="31" t="str">
        <f t="shared" si="1"/>
        <v xml:space="preserve"> </v>
      </c>
      <c r="L25" s="38" t="str">
        <f t="shared" si="2"/>
        <v xml:space="preserve"> </v>
      </c>
    </row>
    <row r="26" spans="1:12" ht="15.75" customHeight="1" x14ac:dyDescent="0.3">
      <c r="A26" s="30">
        <v>17</v>
      </c>
      <c r="B26" s="20"/>
      <c r="C26" s="39"/>
      <c r="D26" s="31">
        <f>ATUAL!K19</f>
        <v>0</v>
      </c>
      <c r="E26" s="31">
        <f>ATUAL!R19</f>
        <v>0</v>
      </c>
      <c r="F26" s="31">
        <f t="shared" si="3"/>
        <v>0</v>
      </c>
      <c r="G26" s="31">
        <f t="shared" si="0"/>
        <v>0</v>
      </c>
      <c r="H26" s="31">
        <f t="shared" si="4"/>
        <v>0</v>
      </c>
      <c r="I26" s="40"/>
      <c r="J26" s="30" t="str">
        <f>IFERROR(VLOOKUP(I26,'BASE DE DADOS'!$A$4:$B$83,2,0)," ")</f>
        <v xml:space="preserve"> </v>
      </c>
      <c r="K26" s="31" t="str">
        <f t="shared" si="1"/>
        <v xml:space="preserve"> </v>
      </c>
      <c r="L26" s="38" t="str">
        <f t="shared" si="2"/>
        <v xml:space="preserve"> </v>
      </c>
    </row>
    <row r="27" spans="1:12" ht="15.75" customHeight="1" x14ac:dyDescent="0.3">
      <c r="A27" s="30">
        <v>18</v>
      </c>
      <c r="B27" s="20"/>
      <c r="C27" s="39"/>
      <c r="D27" s="31">
        <f>ATUAL!K20</f>
        <v>0</v>
      </c>
      <c r="E27" s="31">
        <f>ATUAL!R20</f>
        <v>0</v>
      </c>
      <c r="F27" s="31">
        <f t="shared" si="3"/>
        <v>0</v>
      </c>
      <c r="G27" s="31">
        <f t="shared" si="0"/>
        <v>0</v>
      </c>
      <c r="H27" s="31">
        <f t="shared" si="4"/>
        <v>0</v>
      </c>
      <c r="I27" s="40"/>
      <c r="J27" s="30" t="str">
        <f>IFERROR(VLOOKUP(I27,'BASE DE DADOS'!$A$4:$B$83,2,0)," ")</f>
        <v xml:space="preserve"> </v>
      </c>
      <c r="K27" s="31" t="str">
        <f t="shared" si="1"/>
        <v xml:space="preserve"> </v>
      </c>
      <c r="L27" s="38" t="str">
        <f t="shared" si="2"/>
        <v xml:space="preserve"> </v>
      </c>
    </row>
    <row r="28" spans="1:12" ht="15.75" customHeight="1" x14ac:dyDescent="0.3">
      <c r="A28" s="30">
        <v>19</v>
      </c>
      <c r="B28" s="20"/>
      <c r="C28" s="39"/>
      <c r="D28" s="31">
        <f>ATUAL!K21</f>
        <v>0</v>
      </c>
      <c r="E28" s="31">
        <f>ATUAL!R21</f>
        <v>0</v>
      </c>
      <c r="F28" s="31">
        <f t="shared" si="3"/>
        <v>0</v>
      </c>
      <c r="G28" s="31">
        <f t="shared" si="0"/>
        <v>0</v>
      </c>
      <c r="H28" s="31">
        <f t="shared" si="4"/>
        <v>0</v>
      </c>
      <c r="I28" s="40"/>
      <c r="J28" s="30" t="str">
        <f>IFERROR(VLOOKUP(I28,'BASE DE DADOS'!$A$4:$B$83,2,0)," ")</f>
        <v xml:space="preserve"> </v>
      </c>
      <c r="K28" s="31" t="str">
        <f t="shared" si="1"/>
        <v xml:space="preserve"> </v>
      </c>
      <c r="L28" s="38" t="str">
        <f t="shared" si="2"/>
        <v xml:space="preserve"> </v>
      </c>
    </row>
    <row r="29" spans="1:12" ht="15.75" customHeight="1" x14ac:dyDescent="0.3">
      <c r="A29" s="30">
        <v>20</v>
      </c>
      <c r="B29" s="20"/>
      <c r="C29" s="39"/>
      <c r="D29" s="31">
        <f>ATUAL!K22</f>
        <v>0</v>
      </c>
      <c r="E29" s="31">
        <f>ATUAL!R22</f>
        <v>0</v>
      </c>
      <c r="F29" s="31">
        <f t="shared" si="3"/>
        <v>0</v>
      </c>
      <c r="G29" s="31">
        <f t="shared" si="0"/>
        <v>0</v>
      </c>
      <c r="H29" s="31">
        <f t="shared" si="4"/>
        <v>0</v>
      </c>
      <c r="I29" s="40"/>
      <c r="J29" s="30" t="str">
        <f>IFERROR(VLOOKUP(I29,'BASE DE DADOS'!$A$4:$B$83,2,0)," ")</f>
        <v xml:space="preserve"> </v>
      </c>
      <c r="K29" s="31" t="str">
        <f t="shared" si="1"/>
        <v xml:space="preserve"> </v>
      </c>
      <c r="L29" s="38" t="str">
        <f t="shared" si="2"/>
        <v xml:space="preserve"> </v>
      </c>
    </row>
    <row r="30" spans="1:12" ht="15.75" customHeight="1" x14ac:dyDescent="0.3">
      <c r="A30" s="30">
        <v>21</v>
      </c>
      <c r="B30" s="20"/>
      <c r="C30" s="39"/>
      <c r="D30" s="31">
        <f>ATUAL!K23</f>
        <v>0</v>
      </c>
      <c r="E30" s="31">
        <f>ATUAL!R23</f>
        <v>0</v>
      </c>
      <c r="F30" s="31">
        <f t="shared" si="3"/>
        <v>0</v>
      </c>
      <c r="G30" s="31">
        <f t="shared" si="0"/>
        <v>0</v>
      </c>
      <c r="H30" s="31">
        <f t="shared" si="4"/>
        <v>0</v>
      </c>
      <c r="I30" s="40"/>
      <c r="J30" s="30" t="str">
        <f>IFERROR(VLOOKUP(I30,'BASE DE DADOS'!$A$4:$B$83,2,0)," ")</f>
        <v xml:space="preserve"> </v>
      </c>
      <c r="K30" s="31" t="str">
        <f t="shared" si="1"/>
        <v xml:space="preserve"> </v>
      </c>
      <c r="L30" s="38" t="str">
        <f t="shared" si="2"/>
        <v xml:space="preserve"> </v>
      </c>
    </row>
    <row r="31" spans="1:12" ht="15.75" customHeight="1" x14ac:dyDescent="0.3">
      <c r="A31" s="30">
        <v>22</v>
      </c>
      <c r="B31" s="20"/>
      <c r="C31" s="39"/>
      <c r="D31" s="31">
        <f>ATUAL!K24</f>
        <v>0</v>
      </c>
      <c r="E31" s="31">
        <f>ATUAL!R24</f>
        <v>0</v>
      </c>
      <c r="F31" s="31">
        <f t="shared" si="3"/>
        <v>0</v>
      </c>
      <c r="G31" s="31">
        <f t="shared" si="0"/>
        <v>0</v>
      </c>
      <c r="H31" s="31">
        <f t="shared" si="4"/>
        <v>0</v>
      </c>
      <c r="I31" s="40"/>
      <c r="J31" s="30" t="str">
        <f>IFERROR(VLOOKUP(I31,'BASE DE DADOS'!$A$4:$B$83,2,0)," ")</f>
        <v xml:space="preserve"> </v>
      </c>
      <c r="K31" s="31" t="str">
        <f t="shared" si="1"/>
        <v xml:space="preserve"> </v>
      </c>
      <c r="L31" s="38" t="str">
        <f t="shared" si="2"/>
        <v xml:space="preserve"> </v>
      </c>
    </row>
    <row r="32" spans="1:12" ht="15.75" customHeight="1" x14ac:dyDescent="0.3">
      <c r="A32" s="30">
        <v>23</v>
      </c>
      <c r="B32" s="20"/>
      <c r="C32" s="39"/>
      <c r="D32" s="31">
        <f>ATUAL!K25</f>
        <v>0</v>
      </c>
      <c r="E32" s="31">
        <f>ATUAL!R25</f>
        <v>0</v>
      </c>
      <c r="F32" s="31">
        <f t="shared" si="3"/>
        <v>0</v>
      </c>
      <c r="G32" s="31">
        <f t="shared" si="0"/>
        <v>0</v>
      </c>
      <c r="H32" s="31">
        <f t="shared" si="4"/>
        <v>0</v>
      </c>
      <c r="I32" s="40"/>
      <c r="J32" s="30" t="str">
        <f>IFERROR(VLOOKUP(I32,'BASE DE DADOS'!$A$4:$B$83,2,0)," ")</f>
        <v xml:space="preserve"> </v>
      </c>
      <c r="K32" s="31" t="str">
        <f t="shared" si="1"/>
        <v xml:space="preserve"> </v>
      </c>
      <c r="L32" s="38" t="str">
        <f t="shared" si="2"/>
        <v xml:space="preserve"> </v>
      </c>
    </row>
    <row r="33" spans="1:12" ht="15.75" customHeight="1" x14ac:dyDescent="0.3">
      <c r="A33" s="30">
        <v>24</v>
      </c>
      <c r="B33" s="20"/>
      <c r="C33" s="39"/>
      <c r="D33" s="31">
        <f>ATUAL!K26</f>
        <v>0</v>
      </c>
      <c r="E33" s="31">
        <f>ATUAL!R26</f>
        <v>0</v>
      </c>
      <c r="F33" s="31">
        <f t="shared" si="3"/>
        <v>0</v>
      </c>
      <c r="G33" s="31">
        <f t="shared" si="0"/>
        <v>0</v>
      </c>
      <c r="H33" s="31">
        <f t="shared" si="4"/>
        <v>0</v>
      </c>
      <c r="I33" s="40"/>
      <c r="J33" s="30" t="str">
        <f>IFERROR(VLOOKUP(I33,'BASE DE DADOS'!$A$4:$B$83,2,0)," ")</f>
        <v xml:space="preserve"> </v>
      </c>
      <c r="K33" s="31" t="str">
        <f t="shared" si="1"/>
        <v xml:space="preserve"> </v>
      </c>
      <c r="L33" s="38" t="str">
        <f t="shared" si="2"/>
        <v xml:space="preserve"> </v>
      </c>
    </row>
    <row r="34" spans="1:12" ht="15.75" customHeight="1" x14ac:dyDescent="0.3">
      <c r="A34" s="30">
        <v>25</v>
      </c>
      <c r="B34" s="20"/>
      <c r="C34" s="39"/>
      <c r="D34" s="31">
        <f>ATUAL!K27</f>
        <v>0</v>
      </c>
      <c r="E34" s="31">
        <f>ATUAL!R27</f>
        <v>0</v>
      </c>
      <c r="F34" s="31">
        <f t="shared" si="3"/>
        <v>0</v>
      </c>
      <c r="G34" s="31">
        <f t="shared" si="0"/>
        <v>0</v>
      </c>
      <c r="H34" s="31">
        <f t="shared" si="4"/>
        <v>0</v>
      </c>
      <c r="I34" s="40"/>
      <c r="J34" s="30" t="str">
        <f>IFERROR(VLOOKUP(I34,'BASE DE DADOS'!$A$4:$B$83,2,0)," ")</f>
        <v xml:space="preserve"> </v>
      </c>
      <c r="K34" s="31" t="str">
        <f t="shared" si="1"/>
        <v xml:space="preserve"> </v>
      </c>
      <c r="L34" s="38" t="str">
        <f t="shared" si="2"/>
        <v xml:space="preserve"> </v>
      </c>
    </row>
    <row r="35" spans="1:12" ht="15.75" customHeight="1" x14ac:dyDescent="0.3">
      <c r="A35" s="30">
        <v>26</v>
      </c>
      <c r="B35" s="20"/>
      <c r="C35" s="39"/>
      <c r="D35" s="31">
        <f>ATUAL!K28</f>
        <v>0</v>
      </c>
      <c r="E35" s="31">
        <f>ATUAL!R28</f>
        <v>0</v>
      </c>
      <c r="F35" s="31">
        <f t="shared" si="3"/>
        <v>0</v>
      </c>
      <c r="G35" s="31">
        <f t="shared" si="0"/>
        <v>0</v>
      </c>
      <c r="H35" s="31">
        <f t="shared" si="4"/>
        <v>0</v>
      </c>
      <c r="I35" s="40"/>
      <c r="J35" s="30" t="str">
        <f>IFERROR(VLOOKUP(I35,'BASE DE DADOS'!$A$4:$B$83,2,0)," ")</f>
        <v xml:space="preserve"> </v>
      </c>
      <c r="K35" s="31" t="str">
        <f t="shared" si="1"/>
        <v xml:space="preserve"> </v>
      </c>
      <c r="L35" s="38" t="str">
        <f t="shared" si="2"/>
        <v xml:space="preserve"> </v>
      </c>
    </row>
    <row r="36" spans="1:12" ht="15.75" customHeight="1" x14ac:dyDescent="0.3">
      <c r="A36" s="30">
        <v>27</v>
      </c>
      <c r="B36" s="20"/>
      <c r="C36" s="39"/>
      <c r="D36" s="31">
        <f>ATUAL!K29</f>
        <v>0</v>
      </c>
      <c r="E36" s="31">
        <f>ATUAL!R29</f>
        <v>0</v>
      </c>
      <c r="F36" s="31">
        <f t="shared" si="3"/>
        <v>0</v>
      </c>
      <c r="G36" s="31">
        <f t="shared" si="0"/>
        <v>0</v>
      </c>
      <c r="H36" s="31">
        <f t="shared" si="4"/>
        <v>0</v>
      </c>
      <c r="I36" s="40"/>
      <c r="J36" s="30" t="str">
        <f>IFERROR(VLOOKUP(I36,'BASE DE DADOS'!$A$4:$B$83,2,0)," ")</f>
        <v xml:space="preserve"> </v>
      </c>
      <c r="K36" s="31" t="str">
        <f t="shared" si="1"/>
        <v xml:space="preserve"> </v>
      </c>
      <c r="L36" s="38" t="str">
        <f t="shared" si="2"/>
        <v xml:space="preserve"> </v>
      </c>
    </row>
    <row r="37" spans="1:12" ht="15.75" customHeight="1" x14ac:dyDescent="0.3">
      <c r="A37" s="30">
        <v>28</v>
      </c>
      <c r="B37" s="20"/>
      <c r="C37" s="39"/>
      <c r="D37" s="31">
        <f>ATUAL!K30</f>
        <v>0</v>
      </c>
      <c r="E37" s="31">
        <f>ATUAL!R30</f>
        <v>0</v>
      </c>
      <c r="F37" s="31">
        <f t="shared" si="3"/>
        <v>0</v>
      </c>
      <c r="G37" s="31">
        <f t="shared" si="0"/>
        <v>0</v>
      </c>
      <c r="H37" s="31">
        <f t="shared" si="4"/>
        <v>0</v>
      </c>
      <c r="I37" s="40"/>
      <c r="J37" s="30" t="str">
        <f>IFERROR(VLOOKUP(I37,'BASE DE DADOS'!$A$4:$B$83,2,0)," ")</f>
        <v xml:space="preserve"> </v>
      </c>
      <c r="K37" s="31" t="str">
        <f t="shared" si="1"/>
        <v xml:space="preserve"> </v>
      </c>
      <c r="L37" s="38" t="str">
        <f t="shared" si="2"/>
        <v xml:space="preserve"> </v>
      </c>
    </row>
    <row r="38" spans="1:12" ht="15.75" customHeight="1" x14ac:dyDescent="0.3">
      <c r="A38" s="30">
        <v>29</v>
      </c>
      <c r="B38" s="20"/>
      <c r="C38" s="39"/>
      <c r="D38" s="31">
        <f>ATUAL!K31</f>
        <v>0</v>
      </c>
      <c r="E38" s="31">
        <f>ATUAL!R31</f>
        <v>0</v>
      </c>
      <c r="F38" s="31">
        <f t="shared" si="3"/>
        <v>0</v>
      </c>
      <c r="G38" s="31">
        <f t="shared" si="0"/>
        <v>0</v>
      </c>
      <c r="H38" s="31">
        <f t="shared" si="4"/>
        <v>0</v>
      </c>
      <c r="I38" s="40"/>
      <c r="J38" s="30" t="str">
        <f>IFERROR(VLOOKUP(I38,'BASE DE DADOS'!$A$4:$B$83,2,0)," ")</f>
        <v xml:space="preserve"> </v>
      </c>
      <c r="K38" s="31" t="str">
        <f t="shared" si="1"/>
        <v xml:space="preserve"> </v>
      </c>
      <c r="L38" s="38" t="str">
        <f t="shared" si="2"/>
        <v xml:space="preserve"> </v>
      </c>
    </row>
    <row r="39" spans="1:12" ht="15.75" customHeight="1" x14ac:dyDescent="0.3">
      <c r="A39" s="30">
        <v>30</v>
      </c>
      <c r="B39" s="20"/>
      <c r="C39" s="39"/>
      <c r="D39" s="31">
        <f>ATUAL!K32</f>
        <v>0</v>
      </c>
      <c r="E39" s="31">
        <f>ATUAL!R32</f>
        <v>0</v>
      </c>
      <c r="F39" s="31">
        <f t="shared" si="3"/>
        <v>0</v>
      </c>
      <c r="G39" s="31">
        <f t="shared" si="0"/>
        <v>0</v>
      </c>
      <c r="H39" s="31">
        <f t="shared" si="4"/>
        <v>0</v>
      </c>
      <c r="I39" s="40"/>
      <c r="J39" s="30" t="str">
        <f>IFERROR(VLOOKUP(I39,'BASE DE DADOS'!$A$4:$B$83,2,0)," ")</f>
        <v xml:space="preserve"> </v>
      </c>
      <c r="K39" s="31" t="str">
        <f t="shared" si="1"/>
        <v xml:space="preserve"> </v>
      </c>
      <c r="L39" s="38" t="str">
        <f t="shared" si="2"/>
        <v xml:space="preserve"> </v>
      </c>
    </row>
    <row r="40" spans="1:12" ht="15.75" customHeight="1" x14ac:dyDescent="0.3">
      <c r="A40" s="30">
        <v>31</v>
      </c>
      <c r="B40" s="20"/>
      <c r="C40" s="39"/>
      <c r="D40" s="31">
        <f>ATUAL!K33</f>
        <v>0</v>
      </c>
      <c r="E40" s="31">
        <f>ATUAL!R33</f>
        <v>0</v>
      </c>
      <c r="F40" s="31">
        <f t="shared" si="3"/>
        <v>0</v>
      </c>
      <c r="G40" s="31">
        <f t="shared" si="0"/>
        <v>0</v>
      </c>
      <c r="H40" s="31">
        <f t="shared" si="4"/>
        <v>0</v>
      </c>
      <c r="I40" s="40"/>
      <c r="J40" s="30" t="str">
        <f>IFERROR(VLOOKUP(I40,'BASE DE DADOS'!$A$4:$B$83,2,0)," ")</f>
        <v xml:space="preserve"> </v>
      </c>
      <c r="K40" s="31" t="str">
        <f t="shared" si="1"/>
        <v xml:space="preserve"> </v>
      </c>
      <c r="L40" s="38" t="str">
        <f t="shared" si="2"/>
        <v xml:space="preserve"> </v>
      </c>
    </row>
    <row r="41" spans="1:12" ht="15.75" customHeight="1" x14ac:dyDescent="0.3">
      <c r="A41" s="30">
        <v>32</v>
      </c>
      <c r="B41" s="20"/>
      <c r="C41" s="39"/>
      <c r="D41" s="31">
        <f>ATUAL!K34</f>
        <v>0</v>
      </c>
      <c r="E41" s="31">
        <f>ATUAL!R34</f>
        <v>0</v>
      </c>
      <c r="F41" s="31">
        <f t="shared" si="3"/>
        <v>0</v>
      </c>
      <c r="G41" s="31">
        <f t="shared" si="0"/>
        <v>0</v>
      </c>
      <c r="H41" s="31">
        <f t="shared" si="4"/>
        <v>0</v>
      </c>
      <c r="I41" s="40"/>
      <c r="J41" s="30" t="str">
        <f>IFERROR(VLOOKUP(I41,'BASE DE DADOS'!$A$4:$B$83,2,0)," ")</f>
        <v xml:space="preserve"> </v>
      </c>
      <c r="K41" s="31" t="str">
        <f t="shared" si="1"/>
        <v xml:space="preserve"> </v>
      </c>
      <c r="L41" s="38" t="str">
        <f t="shared" si="2"/>
        <v xml:space="preserve"> </v>
      </c>
    </row>
    <row r="42" spans="1:12" ht="15.75" customHeight="1" x14ac:dyDescent="0.3">
      <c r="A42" s="30">
        <v>33</v>
      </c>
      <c r="B42" s="20"/>
      <c r="C42" s="39"/>
      <c r="D42" s="31">
        <f>ATUAL!K35</f>
        <v>0</v>
      </c>
      <c r="E42" s="31">
        <f>ATUAL!R35</f>
        <v>0</v>
      </c>
      <c r="F42" s="31">
        <f t="shared" si="3"/>
        <v>0</v>
      </c>
      <c r="G42" s="31">
        <f t="shared" si="0"/>
        <v>0</v>
      </c>
      <c r="H42" s="31">
        <f t="shared" si="4"/>
        <v>0</v>
      </c>
      <c r="I42" s="40"/>
      <c r="J42" s="30" t="str">
        <f>IFERROR(VLOOKUP(I42,'BASE DE DADOS'!$A$4:$B$83,2,0)," ")</f>
        <v xml:space="preserve"> </v>
      </c>
      <c r="K42" s="31" t="str">
        <f t="shared" si="1"/>
        <v xml:space="preserve"> </v>
      </c>
      <c r="L42" s="38" t="str">
        <f t="shared" si="2"/>
        <v xml:space="preserve"> </v>
      </c>
    </row>
    <row r="43" spans="1:12" ht="15.75" customHeight="1" x14ac:dyDescent="0.3">
      <c r="A43" s="30">
        <v>34</v>
      </c>
      <c r="B43" s="20"/>
      <c r="C43" s="39"/>
      <c r="D43" s="31">
        <f>ATUAL!K36</f>
        <v>0</v>
      </c>
      <c r="E43" s="31">
        <f>ATUAL!R36</f>
        <v>0</v>
      </c>
      <c r="F43" s="31">
        <f t="shared" si="3"/>
        <v>0</v>
      </c>
      <c r="G43" s="31">
        <f t="shared" si="0"/>
        <v>0</v>
      </c>
      <c r="H43" s="31">
        <f t="shared" si="4"/>
        <v>0</v>
      </c>
      <c r="I43" s="40"/>
      <c r="J43" s="30" t="str">
        <f>IFERROR(VLOOKUP(I43,'BASE DE DADOS'!$A$4:$B$83,2,0)," ")</f>
        <v xml:space="preserve"> </v>
      </c>
      <c r="K43" s="31" t="str">
        <f t="shared" si="1"/>
        <v xml:space="preserve"> </v>
      </c>
      <c r="L43" s="38" t="str">
        <f t="shared" si="2"/>
        <v xml:space="preserve"> </v>
      </c>
    </row>
    <row r="44" spans="1:12" ht="15.75" customHeight="1" x14ac:dyDescent="0.3">
      <c r="A44" s="30">
        <v>35</v>
      </c>
      <c r="B44" s="20"/>
      <c r="C44" s="39"/>
      <c r="D44" s="31">
        <f>ATUAL!K37</f>
        <v>0</v>
      </c>
      <c r="E44" s="31">
        <f>ATUAL!R37</f>
        <v>0</v>
      </c>
      <c r="F44" s="31">
        <f t="shared" si="3"/>
        <v>0</v>
      </c>
      <c r="G44" s="31">
        <f t="shared" si="0"/>
        <v>0</v>
      </c>
      <c r="H44" s="31">
        <f t="shared" si="4"/>
        <v>0</v>
      </c>
      <c r="I44" s="40"/>
      <c r="J44" s="30" t="str">
        <f>IFERROR(VLOOKUP(I44,'BASE DE DADOS'!$A$4:$B$83,2,0)," ")</f>
        <v xml:space="preserve"> </v>
      </c>
      <c r="K44" s="31" t="str">
        <f t="shared" si="1"/>
        <v xml:space="preserve"> </v>
      </c>
      <c r="L44" s="38" t="str">
        <f t="shared" si="2"/>
        <v xml:space="preserve"> </v>
      </c>
    </row>
    <row r="45" spans="1:12" ht="15.75" customHeight="1" x14ac:dyDescent="0.3">
      <c r="A45" s="30">
        <v>36</v>
      </c>
      <c r="B45" s="20"/>
      <c r="C45" s="39"/>
      <c r="D45" s="31">
        <f>ATUAL!K38</f>
        <v>0</v>
      </c>
      <c r="E45" s="31">
        <f>ATUAL!R38</f>
        <v>0</v>
      </c>
      <c r="F45" s="31">
        <f t="shared" si="3"/>
        <v>0</v>
      </c>
      <c r="G45" s="31">
        <f t="shared" si="0"/>
        <v>0</v>
      </c>
      <c r="H45" s="31">
        <f t="shared" si="4"/>
        <v>0</v>
      </c>
      <c r="I45" s="40"/>
      <c r="J45" s="30" t="str">
        <f>IFERROR(VLOOKUP(I45,'BASE DE DADOS'!$A$4:$B$83,2,0)," ")</f>
        <v xml:space="preserve"> </v>
      </c>
      <c r="K45" s="31" t="str">
        <f t="shared" si="1"/>
        <v xml:space="preserve"> </v>
      </c>
      <c r="L45" s="38" t="str">
        <f t="shared" si="2"/>
        <v xml:space="preserve"> </v>
      </c>
    </row>
    <row r="46" spans="1:12" ht="15.75" customHeight="1" x14ac:dyDescent="0.3">
      <c r="A46" s="30">
        <v>37</v>
      </c>
      <c r="B46" s="20"/>
      <c r="C46" s="39"/>
      <c r="D46" s="31">
        <f>ATUAL!K39</f>
        <v>0</v>
      </c>
      <c r="E46" s="31">
        <f>ATUAL!R39</f>
        <v>0</v>
      </c>
      <c r="F46" s="31">
        <f t="shared" si="3"/>
        <v>0</v>
      </c>
      <c r="G46" s="31">
        <f t="shared" si="0"/>
        <v>0</v>
      </c>
      <c r="H46" s="31">
        <f t="shared" si="4"/>
        <v>0</v>
      </c>
      <c r="I46" s="40"/>
      <c r="J46" s="30" t="str">
        <f>IFERROR(VLOOKUP(I46,'BASE DE DADOS'!$A$4:$B$83,2,0)," ")</f>
        <v xml:space="preserve"> </v>
      </c>
      <c r="K46" s="31" t="str">
        <f t="shared" si="1"/>
        <v xml:space="preserve"> </v>
      </c>
      <c r="L46" s="38" t="str">
        <f t="shared" si="2"/>
        <v xml:space="preserve"> </v>
      </c>
    </row>
    <row r="47" spans="1:12" ht="15.75" customHeight="1" x14ac:dyDescent="0.3">
      <c r="A47" s="30">
        <v>38</v>
      </c>
      <c r="B47" s="20"/>
      <c r="C47" s="39"/>
      <c r="D47" s="31">
        <f>ATUAL!K40</f>
        <v>0</v>
      </c>
      <c r="E47" s="31">
        <f>ATUAL!R40</f>
        <v>0</v>
      </c>
      <c r="F47" s="31">
        <f t="shared" si="3"/>
        <v>0</v>
      </c>
      <c r="G47" s="31">
        <f t="shared" si="0"/>
        <v>0</v>
      </c>
      <c r="H47" s="31">
        <f t="shared" si="4"/>
        <v>0</v>
      </c>
      <c r="I47" s="40"/>
      <c r="J47" s="30" t="str">
        <f>IFERROR(VLOOKUP(I47,'BASE DE DADOS'!$A$4:$B$83,2,0)," ")</f>
        <v xml:space="preserve"> </v>
      </c>
      <c r="K47" s="31" t="str">
        <f t="shared" si="1"/>
        <v xml:space="preserve"> </v>
      </c>
      <c r="L47" s="38" t="str">
        <f t="shared" si="2"/>
        <v xml:space="preserve"> </v>
      </c>
    </row>
    <row r="48" spans="1:12" ht="15.75" customHeight="1" x14ac:dyDescent="0.3">
      <c r="A48" s="30">
        <v>39</v>
      </c>
      <c r="B48" s="20"/>
      <c r="C48" s="39"/>
      <c r="D48" s="31">
        <f>ATUAL!K41</f>
        <v>0</v>
      </c>
      <c r="E48" s="31">
        <f>ATUAL!R41</f>
        <v>0</v>
      </c>
      <c r="F48" s="31">
        <f t="shared" si="3"/>
        <v>0</v>
      </c>
      <c r="G48" s="31">
        <f t="shared" si="0"/>
        <v>0</v>
      </c>
      <c r="H48" s="31">
        <f t="shared" si="4"/>
        <v>0</v>
      </c>
      <c r="I48" s="40"/>
      <c r="J48" s="30" t="str">
        <f>IFERROR(VLOOKUP(I48,'BASE DE DADOS'!$A$4:$B$83,2,0)," ")</f>
        <v xml:space="preserve"> </v>
      </c>
      <c r="K48" s="31" t="str">
        <f t="shared" si="1"/>
        <v xml:space="preserve"> </v>
      </c>
      <c r="L48" s="38" t="str">
        <f t="shared" si="2"/>
        <v xml:space="preserve"> </v>
      </c>
    </row>
    <row r="49" spans="1:12" ht="15.75" customHeight="1" x14ac:dyDescent="0.3">
      <c r="A49" s="30">
        <v>40</v>
      </c>
      <c r="B49" s="20"/>
      <c r="C49" s="39"/>
      <c r="D49" s="31">
        <f>ATUAL!K42</f>
        <v>0</v>
      </c>
      <c r="E49" s="31">
        <f>ATUAL!R42</f>
        <v>0</v>
      </c>
      <c r="F49" s="31">
        <f t="shared" si="3"/>
        <v>0</v>
      </c>
      <c r="G49" s="31">
        <f t="shared" si="0"/>
        <v>0</v>
      </c>
      <c r="H49" s="31">
        <f t="shared" si="4"/>
        <v>0</v>
      </c>
      <c r="I49" s="40"/>
      <c r="J49" s="30" t="str">
        <f>IFERROR(VLOOKUP(I49,'BASE DE DADOS'!$A$4:$B$83,2,0)," ")</f>
        <v xml:space="preserve"> </v>
      </c>
      <c r="K49" s="31" t="str">
        <f t="shared" si="1"/>
        <v xml:space="preserve"> </v>
      </c>
      <c r="L49" s="38" t="str">
        <f t="shared" si="2"/>
        <v xml:space="preserve"> </v>
      </c>
    </row>
    <row r="50" spans="1:12" ht="15.75" customHeight="1" x14ac:dyDescent="0.3">
      <c r="A50" s="30">
        <v>41</v>
      </c>
      <c r="B50" s="20"/>
      <c r="C50" s="39"/>
      <c r="D50" s="31">
        <f>ATUAL!K43</f>
        <v>0</v>
      </c>
      <c r="E50" s="31">
        <f>ATUAL!R43</f>
        <v>0</v>
      </c>
      <c r="F50" s="31">
        <f t="shared" si="3"/>
        <v>0</v>
      </c>
      <c r="G50" s="31">
        <f t="shared" si="0"/>
        <v>0</v>
      </c>
      <c r="H50" s="31">
        <f t="shared" si="4"/>
        <v>0</v>
      </c>
      <c r="I50" s="40"/>
      <c r="J50" s="30" t="str">
        <f>IFERROR(VLOOKUP(I50,'BASE DE DADOS'!$A$4:$B$83,2,0)," ")</f>
        <v xml:space="preserve"> </v>
      </c>
      <c r="K50" s="31" t="str">
        <f t="shared" si="1"/>
        <v xml:space="preserve"> </v>
      </c>
      <c r="L50" s="38" t="str">
        <f t="shared" si="2"/>
        <v xml:space="preserve"> </v>
      </c>
    </row>
    <row r="51" spans="1:12" ht="15.75" customHeight="1" x14ac:dyDescent="0.3">
      <c r="A51" s="30">
        <v>42</v>
      </c>
      <c r="B51" s="20"/>
      <c r="C51" s="39"/>
      <c r="D51" s="31">
        <f>ATUAL!K44</f>
        <v>0</v>
      </c>
      <c r="E51" s="31">
        <f>ATUAL!R44</f>
        <v>0</v>
      </c>
      <c r="F51" s="31">
        <f t="shared" si="3"/>
        <v>0</v>
      </c>
      <c r="G51" s="31">
        <f t="shared" si="0"/>
        <v>0</v>
      </c>
      <c r="H51" s="31">
        <f t="shared" si="4"/>
        <v>0</v>
      </c>
      <c r="I51" s="40"/>
      <c r="J51" s="30" t="str">
        <f>IFERROR(VLOOKUP(I51,'BASE DE DADOS'!$A$4:$B$83,2,0)," ")</f>
        <v xml:space="preserve"> </v>
      </c>
      <c r="K51" s="31" t="str">
        <f t="shared" si="1"/>
        <v xml:space="preserve"> </v>
      </c>
      <c r="L51" s="38" t="str">
        <f t="shared" si="2"/>
        <v xml:space="preserve"> </v>
      </c>
    </row>
    <row r="52" spans="1:12" ht="15.75" customHeight="1" x14ac:dyDescent="0.3">
      <c r="A52" s="30">
        <v>43</v>
      </c>
      <c r="B52" s="20"/>
      <c r="C52" s="39"/>
      <c r="D52" s="31">
        <f>ATUAL!K45</f>
        <v>0</v>
      </c>
      <c r="E52" s="31">
        <f>ATUAL!R45</f>
        <v>0</v>
      </c>
      <c r="F52" s="31">
        <f t="shared" si="3"/>
        <v>0</v>
      </c>
      <c r="G52" s="31">
        <f t="shared" si="0"/>
        <v>0</v>
      </c>
      <c r="H52" s="31">
        <f t="shared" si="4"/>
        <v>0</v>
      </c>
      <c r="I52" s="40"/>
      <c r="J52" s="30" t="str">
        <f>IFERROR(VLOOKUP(I52,'BASE DE DADOS'!$A$4:$B$83,2,0)," ")</f>
        <v xml:space="preserve"> </v>
      </c>
      <c r="K52" s="31" t="str">
        <f t="shared" si="1"/>
        <v xml:space="preserve"> </v>
      </c>
      <c r="L52" s="38" t="str">
        <f t="shared" si="2"/>
        <v xml:space="preserve"> </v>
      </c>
    </row>
    <row r="53" spans="1:12" ht="15.75" customHeight="1" x14ac:dyDescent="0.3">
      <c r="A53" s="30">
        <v>44</v>
      </c>
      <c r="B53" s="20"/>
      <c r="C53" s="39"/>
      <c r="D53" s="31">
        <f>ATUAL!K46</f>
        <v>0</v>
      </c>
      <c r="E53" s="31">
        <f>ATUAL!R46</f>
        <v>0</v>
      </c>
      <c r="F53" s="31">
        <f t="shared" si="3"/>
        <v>0</v>
      </c>
      <c r="G53" s="31">
        <f t="shared" si="0"/>
        <v>0</v>
      </c>
      <c r="H53" s="31">
        <f t="shared" si="4"/>
        <v>0</v>
      </c>
      <c r="I53" s="40"/>
      <c r="J53" s="30" t="str">
        <f>IFERROR(VLOOKUP(I53,'BASE DE DADOS'!$A$4:$B$83,2,0)," ")</f>
        <v xml:space="preserve"> </v>
      </c>
      <c r="K53" s="31" t="str">
        <f t="shared" si="1"/>
        <v xml:space="preserve"> </v>
      </c>
      <c r="L53" s="38" t="str">
        <f t="shared" si="2"/>
        <v xml:space="preserve"> </v>
      </c>
    </row>
    <row r="54" spans="1:12" ht="15.75" customHeight="1" x14ac:dyDescent="0.3">
      <c r="A54" s="30">
        <v>45</v>
      </c>
      <c r="B54" s="20"/>
      <c r="C54" s="39"/>
      <c r="D54" s="31">
        <f>ATUAL!K47</f>
        <v>0</v>
      </c>
      <c r="E54" s="31">
        <f>ATUAL!R47</f>
        <v>0</v>
      </c>
      <c r="F54" s="31">
        <f t="shared" si="3"/>
        <v>0</v>
      </c>
      <c r="G54" s="31">
        <f t="shared" si="0"/>
        <v>0</v>
      </c>
      <c r="H54" s="31">
        <f t="shared" si="4"/>
        <v>0</v>
      </c>
      <c r="I54" s="40"/>
      <c r="J54" s="30" t="str">
        <f>IFERROR(VLOOKUP(I54,'BASE DE DADOS'!$A$4:$B$83,2,0)," ")</f>
        <v xml:space="preserve"> </v>
      </c>
      <c r="K54" s="31" t="str">
        <f t="shared" si="1"/>
        <v xml:space="preserve"> </v>
      </c>
      <c r="L54" s="38" t="str">
        <f t="shared" si="2"/>
        <v xml:space="preserve"> </v>
      </c>
    </row>
    <row r="55" spans="1:12" ht="15.75" customHeight="1" x14ac:dyDescent="0.3">
      <c r="A55" s="30">
        <v>46</v>
      </c>
      <c r="B55" s="20"/>
      <c r="C55" s="39"/>
      <c r="D55" s="31">
        <f>ATUAL!K48</f>
        <v>0</v>
      </c>
      <c r="E55" s="31">
        <f>ATUAL!R48</f>
        <v>0</v>
      </c>
      <c r="F55" s="31">
        <f t="shared" si="3"/>
        <v>0</v>
      </c>
      <c r="G55" s="31">
        <f t="shared" si="0"/>
        <v>0</v>
      </c>
      <c r="H55" s="31">
        <f t="shared" si="4"/>
        <v>0</v>
      </c>
      <c r="I55" s="40"/>
      <c r="J55" s="30" t="str">
        <f>IFERROR(VLOOKUP(I55,'BASE DE DADOS'!$A$4:$B$83,2,0)," ")</f>
        <v xml:space="preserve"> </v>
      </c>
      <c r="K55" s="31" t="str">
        <f t="shared" si="1"/>
        <v xml:space="preserve"> </v>
      </c>
      <c r="L55" s="38" t="str">
        <f t="shared" si="2"/>
        <v xml:space="preserve"> </v>
      </c>
    </row>
    <row r="56" spans="1:12" ht="15.75" customHeight="1" x14ac:dyDescent="0.3">
      <c r="A56" s="30">
        <v>47</v>
      </c>
      <c r="B56" s="20"/>
      <c r="C56" s="39"/>
      <c r="D56" s="31">
        <f>ATUAL!K49</f>
        <v>0</v>
      </c>
      <c r="E56" s="31">
        <f>ATUAL!R49</f>
        <v>0</v>
      </c>
      <c r="F56" s="31">
        <f t="shared" si="3"/>
        <v>0</v>
      </c>
      <c r="G56" s="31">
        <f t="shared" si="0"/>
        <v>0</v>
      </c>
      <c r="H56" s="31">
        <f t="shared" si="4"/>
        <v>0</v>
      </c>
      <c r="I56" s="40"/>
      <c r="J56" s="30" t="str">
        <f>IFERROR(VLOOKUP(I56,'BASE DE DADOS'!$A$4:$B$83,2,0)," ")</f>
        <v xml:space="preserve"> </v>
      </c>
      <c r="K56" s="31" t="str">
        <f t="shared" si="1"/>
        <v xml:space="preserve"> </v>
      </c>
      <c r="L56" s="38" t="str">
        <f t="shared" si="2"/>
        <v xml:space="preserve"> </v>
      </c>
    </row>
    <row r="57" spans="1:12" ht="15.75" customHeight="1" x14ac:dyDescent="0.3">
      <c r="A57" s="30">
        <v>48</v>
      </c>
      <c r="B57" s="19"/>
      <c r="C57" s="41"/>
      <c r="D57" s="31">
        <f>ATUAL!K50</f>
        <v>0</v>
      </c>
      <c r="E57" s="31">
        <f>ATUAL!R50</f>
        <v>0</v>
      </c>
      <c r="F57" s="31">
        <f t="shared" si="3"/>
        <v>0</v>
      </c>
      <c r="G57" s="31">
        <f t="shared" si="0"/>
        <v>0</v>
      </c>
      <c r="H57" s="31">
        <f t="shared" si="4"/>
        <v>0</v>
      </c>
      <c r="I57" s="25"/>
      <c r="J57" s="30" t="str">
        <f>IFERROR(VLOOKUP(I57,'BASE DE DADOS'!$A$4:$B$83,2,0)," ")</f>
        <v xml:space="preserve"> </v>
      </c>
      <c r="K57" s="31" t="str">
        <f t="shared" si="1"/>
        <v xml:space="preserve"> </v>
      </c>
      <c r="L57" s="38" t="str">
        <f t="shared" si="2"/>
        <v xml:space="preserve"> </v>
      </c>
    </row>
    <row r="58" spans="1:12" ht="15.75" customHeight="1" x14ac:dyDescent="0.3">
      <c r="A58" s="30">
        <v>49</v>
      </c>
      <c r="B58" s="19"/>
      <c r="C58" s="41"/>
      <c r="D58" s="31">
        <f>ATUAL!K51</f>
        <v>0</v>
      </c>
      <c r="E58" s="31">
        <f>ATUAL!R51</f>
        <v>0</v>
      </c>
      <c r="F58" s="31">
        <f t="shared" si="3"/>
        <v>0</v>
      </c>
      <c r="G58" s="31">
        <f t="shared" si="0"/>
        <v>0</v>
      </c>
      <c r="H58" s="31">
        <f t="shared" si="4"/>
        <v>0</v>
      </c>
      <c r="I58" s="25"/>
      <c r="J58" s="30" t="str">
        <f>IFERROR(VLOOKUP(I58,'BASE DE DADOS'!$A$4:$B$83,2,0)," ")</f>
        <v xml:space="preserve"> </v>
      </c>
      <c r="K58" s="31" t="str">
        <f t="shared" si="1"/>
        <v xml:space="preserve"> </v>
      </c>
      <c r="L58" s="38" t="str">
        <f t="shared" si="2"/>
        <v xml:space="preserve"> </v>
      </c>
    </row>
    <row r="59" spans="1:12" ht="15.75" customHeight="1" x14ac:dyDescent="0.3">
      <c r="A59" s="30">
        <v>50</v>
      </c>
      <c r="B59" s="19"/>
      <c r="C59" s="41"/>
      <c r="D59" s="31">
        <f>ATUAL!K52</f>
        <v>0</v>
      </c>
      <c r="E59" s="31">
        <f>ATUAL!R52</f>
        <v>0</v>
      </c>
      <c r="F59" s="31">
        <f t="shared" si="3"/>
        <v>0</v>
      </c>
      <c r="G59" s="31">
        <f t="shared" si="0"/>
        <v>0</v>
      </c>
      <c r="H59" s="31">
        <f t="shared" si="4"/>
        <v>0</v>
      </c>
      <c r="I59" s="25"/>
      <c r="J59" s="30" t="str">
        <f>IFERROR(VLOOKUP(I59,'BASE DE DADOS'!$A$4:$B$83,2,0)," ")</f>
        <v xml:space="preserve"> </v>
      </c>
      <c r="K59" s="31" t="str">
        <f t="shared" si="1"/>
        <v xml:space="preserve"> </v>
      </c>
      <c r="L59" s="38" t="str">
        <f t="shared" si="2"/>
        <v xml:space="preserve"> </v>
      </c>
    </row>
    <row r="60" spans="1:12" ht="15.75" customHeight="1" x14ac:dyDescent="0.3">
      <c r="A60" s="30">
        <v>51</v>
      </c>
      <c r="B60" s="19"/>
      <c r="C60" s="41"/>
      <c r="D60" s="31">
        <f>ATUAL!K53</f>
        <v>0</v>
      </c>
      <c r="E60" s="31">
        <f>ATUAL!R53</f>
        <v>0</v>
      </c>
      <c r="F60" s="31">
        <f t="shared" si="3"/>
        <v>0</v>
      </c>
      <c r="G60" s="31">
        <f t="shared" si="0"/>
        <v>0</v>
      </c>
      <c r="H60" s="31">
        <f t="shared" si="4"/>
        <v>0</v>
      </c>
      <c r="I60" s="25"/>
      <c r="J60" s="30" t="str">
        <f>IFERROR(VLOOKUP(I60,'BASE DE DADOS'!$A$4:$B$83,2,0)," ")</f>
        <v xml:space="preserve"> </v>
      </c>
      <c r="K60" s="31" t="str">
        <f t="shared" si="1"/>
        <v xml:space="preserve"> </v>
      </c>
      <c r="L60" s="38" t="str">
        <f t="shared" si="2"/>
        <v xml:space="preserve"> </v>
      </c>
    </row>
    <row r="61" spans="1:12" ht="15.75" customHeight="1" x14ac:dyDescent="0.3">
      <c r="A61" s="30">
        <v>52</v>
      </c>
      <c r="B61" s="19"/>
      <c r="C61" s="41"/>
      <c r="D61" s="31">
        <f>ATUAL!K54</f>
        <v>0</v>
      </c>
      <c r="E61" s="31">
        <f>ATUAL!R54</f>
        <v>0</v>
      </c>
      <c r="F61" s="31">
        <f t="shared" si="3"/>
        <v>0</v>
      </c>
      <c r="G61" s="31">
        <f t="shared" si="0"/>
        <v>0</v>
      </c>
      <c r="H61" s="31">
        <f t="shared" si="4"/>
        <v>0</v>
      </c>
      <c r="I61" s="25"/>
      <c r="J61" s="30" t="str">
        <f>IFERROR(VLOOKUP(I61,'BASE DE DADOS'!$A$4:$B$83,2,0)," ")</f>
        <v xml:space="preserve"> </v>
      </c>
      <c r="K61" s="31" t="str">
        <f t="shared" si="1"/>
        <v xml:space="preserve"> </v>
      </c>
      <c r="L61" s="38" t="str">
        <f t="shared" si="2"/>
        <v xml:space="preserve"> </v>
      </c>
    </row>
    <row r="62" spans="1:12" ht="15.75" customHeight="1" x14ac:dyDescent="0.3">
      <c r="A62" s="30">
        <v>53</v>
      </c>
      <c r="B62" s="19"/>
      <c r="C62" s="41"/>
      <c r="D62" s="31">
        <f>ATUAL!K55</f>
        <v>0</v>
      </c>
      <c r="E62" s="31">
        <f>ATUAL!R55</f>
        <v>0</v>
      </c>
      <c r="F62" s="31">
        <f t="shared" si="3"/>
        <v>0</v>
      </c>
      <c r="G62" s="31">
        <f t="shared" si="0"/>
        <v>0</v>
      </c>
      <c r="H62" s="31">
        <f t="shared" si="4"/>
        <v>0</v>
      </c>
      <c r="I62" s="25"/>
      <c r="J62" s="30" t="str">
        <f>IFERROR(VLOOKUP(I62,'BASE DE DADOS'!$A$4:$B$83,2,0)," ")</f>
        <v xml:space="preserve"> </v>
      </c>
      <c r="K62" s="31" t="str">
        <f t="shared" si="1"/>
        <v xml:space="preserve"> </v>
      </c>
      <c r="L62" s="38" t="str">
        <f t="shared" si="2"/>
        <v xml:space="preserve"> </v>
      </c>
    </row>
    <row r="63" spans="1:12" ht="15.75" customHeight="1" x14ac:dyDescent="0.3">
      <c r="A63" s="30">
        <v>54</v>
      </c>
      <c r="B63" s="19"/>
      <c r="C63" s="41"/>
      <c r="D63" s="31">
        <f>ATUAL!K56</f>
        <v>0</v>
      </c>
      <c r="E63" s="31">
        <f>ATUAL!R56</f>
        <v>0</v>
      </c>
      <c r="F63" s="31">
        <f t="shared" si="3"/>
        <v>0</v>
      </c>
      <c r="G63" s="31">
        <f t="shared" si="0"/>
        <v>0</v>
      </c>
      <c r="H63" s="31">
        <f t="shared" si="4"/>
        <v>0</v>
      </c>
      <c r="I63" s="25"/>
      <c r="J63" s="30" t="str">
        <f>IFERROR(VLOOKUP(I63,'BASE DE DADOS'!$A$4:$B$83,2,0)," ")</f>
        <v xml:space="preserve"> </v>
      </c>
      <c r="K63" s="31" t="str">
        <f t="shared" si="1"/>
        <v xml:space="preserve"> </v>
      </c>
      <c r="L63" s="38" t="str">
        <f t="shared" si="2"/>
        <v xml:space="preserve"> </v>
      </c>
    </row>
    <row r="64" spans="1:12" ht="15.75" customHeight="1" x14ac:dyDescent="0.3">
      <c r="A64" s="30">
        <v>55</v>
      </c>
      <c r="B64" s="19"/>
      <c r="C64" s="41"/>
      <c r="D64" s="31">
        <f>ATUAL!K57</f>
        <v>0</v>
      </c>
      <c r="E64" s="31">
        <f>ATUAL!R57</f>
        <v>0</v>
      </c>
      <c r="F64" s="31">
        <f t="shared" si="3"/>
        <v>0</v>
      </c>
      <c r="G64" s="31">
        <f t="shared" si="0"/>
        <v>0</v>
      </c>
      <c r="H64" s="31">
        <f t="shared" si="4"/>
        <v>0</v>
      </c>
      <c r="I64" s="25"/>
      <c r="J64" s="30" t="str">
        <f>IFERROR(VLOOKUP(I64,'BASE DE DADOS'!$A$4:$B$83,2,0)," ")</f>
        <v xml:space="preserve"> </v>
      </c>
      <c r="K64" s="31" t="str">
        <f t="shared" si="1"/>
        <v xml:space="preserve"> </v>
      </c>
      <c r="L64" s="38" t="str">
        <f t="shared" si="2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G1:G2"/>
    <mergeCell ref="D3:E3"/>
    <mergeCell ref="D4:E4"/>
    <mergeCell ref="D5:E5"/>
    <mergeCell ref="D7:H7"/>
    <mergeCell ref="I7:I8"/>
    <mergeCell ref="J7:L7"/>
    <mergeCell ref="A7:C7"/>
    <mergeCell ref="B8:B9"/>
    <mergeCell ref="D8:F8"/>
    <mergeCell ref="D9:F9"/>
  </mergeCells>
  <conditionalFormatting sqref="G3">
    <cfRule type="cellIs" dxfId="18" priority="2" operator="greaterThan">
      <formula>1</formula>
    </cfRule>
    <cfRule type="cellIs" dxfId="17" priority="3" operator="lessThan">
      <formula>1</formula>
    </cfRule>
  </conditionalFormatting>
  <conditionalFormatting sqref="K11:L64">
    <cfRule type="cellIs" dxfId="16" priority="1" operator="greaterThan">
      <formula>6</formula>
    </cfRule>
  </conditionalFormatting>
  <pageMargins left="0.25" right="0.25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200-000001000000}">
          <x14:formula1>
            <xm:f>'BASE DE DADOS'!$T$2:$T$56</xm:f>
          </x14:formula1>
          <xm:sqref>B11:B64</xm:sqref>
        </x14:dataValidation>
        <x14:dataValidation type="list" allowBlank="1" showErrorMessage="1" xr:uid="{00000000-0002-0000-02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W1000"/>
  <sheetViews>
    <sheetView showGridLines="0" workbookViewId="0">
      <selection activeCell="L3" sqref="L3:P9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81" t="s">
        <v>7</v>
      </c>
      <c r="K1" s="77" t="s">
        <v>8</v>
      </c>
      <c r="L1" s="77" t="s">
        <v>9</v>
      </c>
      <c r="M1" s="77" t="s">
        <v>10</v>
      </c>
      <c r="N1" s="77" t="s">
        <v>11</v>
      </c>
      <c r="O1" s="79" t="s">
        <v>12</v>
      </c>
      <c r="P1" s="80"/>
      <c r="R1" s="81" t="s">
        <v>8</v>
      </c>
      <c r="S1" s="77" t="s">
        <v>13</v>
      </c>
      <c r="T1" s="77" t="s">
        <v>14</v>
      </c>
      <c r="U1" s="77" t="s">
        <v>15</v>
      </c>
      <c r="V1" s="77" t="s">
        <v>16</v>
      </c>
      <c r="W1" s="91" t="s">
        <v>17</v>
      </c>
    </row>
    <row r="2" spans="1:23" thickBot="1" x14ac:dyDescent="0.35">
      <c r="A2" s="87" t="s">
        <v>18</v>
      </c>
      <c r="B2" s="88"/>
      <c r="C2" s="88"/>
      <c r="D2" s="86"/>
      <c r="F2" s="3" t="s">
        <v>19</v>
      </c>
      <c r="G2" s="4" t="s">
        <v>20</v>
      </c>
      <c r="H2" s="5" t="s">
        <v>2</v>
      </c>
      <c r="J2" s="82"/>
      <c r="K2" s="78"/>
      <c r="L2" s="78"/>
      <c r="M2" s="78"/>
      <c r="N2" s="78"/>
      <c r="O2" s="6" t="s">
        <v>20</v>
      </c>
      <c r="P2" s="7" t="s">
        <v>21</v>
      </c>
      <c r="R2" s="82"/>
      <c r="S2" s="78"/>
      <c r="T2" s="78"/>
      <c r="U2" s="78"/>
      <c r="V2" s="78"/>
      <c r="W2" s="92"/>
    </row>
    <row r="3" spans="1:23" thickBot="1" x14ac:dyDescent="0.35">
      <c r="A3" s="83" t="s">
        <v>22</v>
      </c>
      <c r="B3" s="84"/>
      <c r="C3" s="89" t="s">
        <v>4</v>
      </c>
      <c r="D3" s="86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75</v>
      </c>
      <c r="L3" s="73">
        <f>ATUAL!L3</f>
        <v>0</v>
      </c>
      <c r="M3" s="73">
        <f>ATUAL!M3</f>
        <v>0</v>
      </c>
      <c r="N3" s="73">
        <f>ATUAL!N3</f>
        <v>0</v>
      </c>
      <c r="O3" s="73">
        <f>ATUAL!O3</f>
        <v>1</v>
      </c>
      <c r="P3" s="73">
        <f>ATUAL!P3</f>
        <v>75</v>
      </c>
      <c r="R3" s="13">
        <f t="shared" ref="R3:R57" si="1">S3*$H$3+T3*$H$4+U3*$H$5+V3*$H$6+W3*$H$7</f>
        <v>0</v>
      </c>
      <c r="S3" s="73"/>
      <c r="T3" s="73"/>
      <c r="U3" s="73">
        <f>ATUAL!U3</f>
        <v>0</v>
      </c>
      <c r="V3" s="73"/>
      <c r="W3" s="74"/>
    </row>
    <row r="4" spans="1:23" thickBot="1" x14ac:dyDescent="0.35">
      <c r="A4" s="83" t="s">
        <v>24</v>
      </c>
      <c r="B4" s="84"/>
      <c r="C4" s="90">
        <f>SUM(L3:O57)</f>
        <v>4</v>
      </c>
      <c r="D4" s="86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73">
        <f>ATUAL!L4</f>
        <v>0</v>
      </c>
      <c r="M4" s="73">
        <f>ATUAL!M4</f>
        <v>0</v>
      </c>
      <c r="N4" s="73">
        <f>ATUAL!N4</f>
        <v>0</v>
      </c>
      <c r="O4" s="73">
        <f>ATUAL!O4</f>
        <v>0</v>
      </c>
      <c r="P4" s="73">
        <f>ATUAL!P4</f>
        <v>0</v>
      </c>
      <c r="R4" s="13">
        <f t="shared" si="1"/>
        <v>0</v>
      </c>
      <c r="S4" s="73"/>
      <c r="T4" s="73"/>
      <c r="U4" s="73">
        <f>ATUAL!U4</f>
        <v>0</v>
      </c>
      <c r="V4" s="73"/>
      <c r="W4" s="74"/>
    </row>
    <row r="5" spans="1:23" thickBot="1" x14ac:dyDescent="0.35">
      <c r="A5" s="83" t="s">
        <v>25</v>
      </c>
      <c r="B5" s="84"/>
      <c r="C5" s="102">
        <f>ATUAL!C5</f>
        <v>1.6</v>
      </c>
      <c r="D5" s="86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73">
        <f>ATUAL!L5</f>
        <v>0</v>
      </c>
      <c r="M5" s="73">
        <f>ATUAL!M5</f>
        <v>0</v>
      </c>
      <c r="N5" s="73">
        <f>ATUAL!N5</f>
        <v>0</v>
      </c>
      <c r="O5" s="73">
        <f>ATUAL!O5</f>
        <v>0</v>
      </c>
      <c r="P5" s="73">
        <f>ATUAL!P5</f>
        <v>0</v>
      </c>
      <c r="R5" s="13">
        <f t="shared" si="1"/>
        <v>0</v>
      </c>
      <c r="S5" s="73"/>
      <c r="T5" s="73"/>
      <c r="U5" s="73">
        <f>ATUAL!U5</f>
        <v>0</v>
      </c>
      <c r="V5" s="73"/>
      <c r="W5" s="74"/>
    </row>
    <row r="6" spans="1:23" ht="14.4" x14ac:dyDescent="0.3"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73">
        <f>ATUAL!L6</f>
        <v>0</v>
      </c>
      <c r="M6" s="73">
        <f>ATUAL!M6</f>
        <v>0</v>
      </c>
      <c r="N6" s="73">
        <f>ATUAL!N6</f>
        <v>0</v>
      </c>
      <c r="O6" s="73">
        <f>ATUAL!O6</f>
        <v>0</v>
      </c>
      <c r="P6" s="73">
        <f>ATUAL!P6</f>
        <v>0</v>
      </c>
      <c r="R6" s="13">
        <f t="shared" si="1"/>
        <v>0</v>
      </c>
      <c r="S6" s="73"/>
      <c r="T6" s="73"/>
      <c r="U6" s="73">
        <f>ATUAL!U6</f>
        <v>0</v>
      </c>
      <c r="V6" s="73"/>
      <c r="W6" s="74"/>
    </row>
    <row r="7" spans="1:23" thickBot="1" x14ac:dyDescent="0.35"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49</v>
      </c>
      <c r="L7" s="73">
        <f>ATUAL!L7</f>
        <v>0</v>
      </c>
      <c r="M7" s="73">
        <f>ATUAL!M7</f>
        <v>0</v>
      </c>
      <c r="N7" s="73"/>
      <c r="O7" s="73">
        <v>1</v>
      </c>
      <c r="P7" s="73">
        <v>49</v>
      </c>
      <c r="R7" s="13">
        <f t="shared" si="1"/>
        <v>0</v>
      </c>
      <c r="S7" s="73"/>
      <c r="T7" s="73"/>
      <c r="U7" s="73">
        <f>ATUAL!U7</f>
        <v>0</v>
      </c>
      <c r="V7" s="73"/>
      <c r="W7" s="74"/>
    </row>
    <row r="8" spans="1:23" ht="14.4" x14ac:dyDescent="0.3">
      <c r="B8" s="1"/>
      <c r="C8" s="1"/>
      <c r="D8" s="1"/>
      <c r="J8" s="11">
        <v>6</v>
      </c>
      <c r="K8" s="12">
        <f t="shared" si="0"/>
        <v>3.2</v>
      </c>
      <c r="L8" s="73">
        <f>ATUAL!L8</f>
        <v>1</v>
      </c>
      <c r="M8" s="73">
        <f>ATUAL!M8</f>
        <v>0</v>
      </c>
      <c r="N8" s="73">
        <f>ATUAL!N8</f>
        <v>1</v>
      </c>
      <c r="O8" s="73">
        <f>ATUAL!O8</f>
        <v>0</v>
      </c>
      <c r="P8" s="73">
        <f>ATUAL!P8</f>
        <v>0</v>
      </c>
      <c r="R8" s="13">
        <f t="shared" si="1"/>
        <v>0</v>
      </c>
      <c r="S8" s="73"/>
      <c r="T8" s="73"/>
      <c r="U8" s="73">
        <f>ATUAL!U8</f>
        <v>0</v>
      </c>
      <c r="V8" s="73"/>
      <c r="W8" s="74"/>
    </row>
    <row r="9" spans="1:23" ht="14.4" x14ac:dyDescent="0.3">
      <c r="J9" s="11">
        <v>7</v>
      </c>
      <c r="K9" s="12">
        <f t="shared" si="0"/>
        <v>0</v>
      </c>
      <c r="L9" s="73">
        <f>ATUAL!L9</f>
        <v>0</v>
      </c>
      <c r="M9" s="73">
        <f>ATUAL!M9</f>
        <v>0</v>
      </c>
      <c r="N9" s="73">
        <f>ATUAL!N9</f>
        <v>0</v>
      </c>
      <c r="O9" s="73">
        <f>ATUAL!O9</f>
        <v>0</v>
      </c>
      <c r="P9" s="73">
        <f>ATUAL!P9</f>
        <v>0</v>
      </c>
      <c r="R9" s="13">
        <f t="shared" si="1"/>
        <v>0</v>
      </c>
      <c r="S9" s="73"/>
      <c r="T9" s="73"/>
      <c r="U9" s="73">
        <f>ATUAL!U9</f>
        <v>0</v>
      </c>
      <c r="V9" s="73"/>
      <c r="W9" s="74"/>
    </row>
    <row r="10" spans="1:23" ht="14.4" x14ac:dyDescent="0.3">
      <c r="J10" s="11">
        <v>8</v>
      </c>
      <c r="K10" s="12">
        <f t="shared" si="0"/>
        <v>0</v>
      </c>
      <c r="L10" s="73">
        <f>ATUAL!L10</f>
        <v>0</v>
      </c>
      <c r="M10" s="73">
        <f>ATUAL!M10</f>
        <v>0</v>
      </c>
      <c r="N10" s="73">
        <f>ATUAL!N10</f>
        <v>0</v>
      </c>
      <c r="O10" s="73">
        <f>ATUAL!O10</f>
        <v>0</v>
      </c>
      <c r="P10" s="73">
        <f>ATUAL!P10</f>
        <v>0</v>
      </c>
      <c r="R10" s="13">
        <f t="shared" si="1"/>
        <v>0</v>
      </c>
      <c r="S10" s="73"/>
      <c r="T10" s="73"/>
      <c r="U10" s="73">
        <f>ATUAL!U10</f>
        <v>0</v>
      </c>
      <c r="V10" s="73"/>
      <c r="W10" s="74"/>
    </row>
    <row r="11" spans="1:23" ht="14.4" x14ac:dyDescent="0.3">
      <c r="B11" s="1"/>
      <c r="J11" s="11">
        <v>9</v>
      </c>
      <c r="K11" s="12">
        <f t="shared" si="0"/>
        <v>0</v>
      </c>
      <c r="L11" s="73">
        <f>ATUAL!L11</f>
        <v>0</v>
      </c>
      <c r="M11" s="73">
        <f>ATUAL!M11</f>
        <v>0</v>
      </c>
      <c r="N11" s="73">
        <f>ATUAL!N11</f>
        <v>0</v>
      </c>
      <c r="O11" s="73">
        <f>ATUAL!O11</f>
        <v>0</v>
      </c>
      <c r="P11" s="73">
        <f>ATUAL!P11</f>
        <v>0</v>
      </c>
      <c r="R11" s="13">
        <f t="shared" si="1"/>
        <v>0</v>
      </c>
      <c r="S11" s="73"/>
      <c r="T11" s="73"/>
      <c r="U11" s="73">
        <f>ATUAL!U11</f>
        <v>0</v>
      </c>
      <c r="V11" s="73"/>
      <c r="W11" s="74"/>
    </row>
    <row r="12" spans="1:23" ht="14.4" x14ac:dyDescent="0.3">
      <c r="J12" s="11">
        <v>10</v>
      </c>
      <c r="K12" s="12">
        <f t="shared" si="0"/>
        <v>0</v>
      </c>
      <c r="L12" s="73">
        <f>ATUAL!L12</f>
        <v>0</v>
      </c>
      <c r="M12" s="73">
        <f>ATUAL!M12</f>
        <v>0</v>
      </c>
      <c r="N12" s="73">
        <f>ATUAL!N12</f>
        <v>0</v>
      </c>
      <c r="O12" s="73">
        <f>ATUAL!O12</f>
        <v>0</v>
      </c>
      <c r="P12" s="73">
        <f>ATUAL!P12</f>
        <v>0</v>
      </c>
      <c r="R12" s="13">
        <f t="shared" si="1"/>
        <v>0</v>
      </c>
      <c r="S12" s="73"/>
      <c r="T12" s="73"/>
      <c r="U12" s="73">
        <f>ATUAL!U12</f>
        <v>0</v>
      </c>
      <c r="V12" s="73"/>
      <c r="W12" s="74"/>
    </row>
    <row r="13" spans="1:23" ht="14.4" x14ac:dyDescent="0.3">
      <c r="J13" s="11">
        <v>11</v>
      </c>
      <c r="K13" s="12">
        <f t="shared" si="0"/>
        <v>0</v>
      </c>
      <c r="L13" s="73">
        <f>ATUAL!L13</f>
        <v>0</v>
      </c>
      <c r="M13" s="73">
        <f>ATUAL!M13</f>
        <v>0</v>
      </c>
      <c r="N13" s="73">
        <f>ATUAL!N13</f>
        <v>0</v>
      </c>
      <c r="O13" s="73">
        <f>ATUAL!O13</f>
        <v>0</v>
      </c>
      <c r="P13" s="73">
        <f>ATUAL!P13</f>
        <v>0</v>
      </c>
      <c r="R13" s="13">
        <f t="shared" si="1"/>
        <v>0</v>
      </c>
      <c r="S13" s="73"/>
      <c r="T13" s="73"/>
      <c r="U13" s="73">
        <f>ATUAL!U13</f>
        <v>0</v>
      </c>
      <c r="V13" s="73"/>
      <c r="W13" s="74"/>
    </row>
    <row r="14" spans="1:23" ht="14.4" x14ac:dyDescent="0.3">
      <c r="J14" s="11">
        <v>12</v>
      </c>
      <c r="K14" s="12">
        <f t="shared" si="0"/>
        <v>0</v>
      </c>
      <c r="L14" s="73">
        <f>ATUAL!L14</f>
        <v>0</v>
      </c>
      <c r="M14" s="73">
        <f>ATUAL!M14</f>
        <v>0</v>
      </c>
      <c r="N14" s="73">
        <f>ATUAL!N14</f>
        <v>0</v>
      </c>
      <c r="O14" s="73">
        <f>ATUAL!O14</f>
        <v>0</v>
      </c>
      <c r="P14" s="73">
        <f>ATUAL!P14</f>
        <v>0</v>
      </c>
      <c r="R14" s="13">
        <f t="shared" si="1"/>
        <v>0</v>
      </c>
      <c r="S14" s="73"/>
      <c r="T14" s="73"/>
      <c r="U14" s="73">
        <f>ATUAL!U14</f>
        <v>0</v>
      </c>
      <c r="V14" s="73"/>
      <c r="W14" s="74"/>
    </row>
    <row r="15" spans="1:23" ht="14.4" x14ac:dyDescent="0.3">
      <c r="J15" s="11">
        <v>13</v>
      </c>
      <c r="K15" s="12">
        <f t="shared" si="0"/>
        <v>0</v>
      </c>
      <c r="L15" s="73">
        <f>ATUAL!L15</f>
        <v>0</v>
      </c>
      <c r="M15" s="73">
        <f>ATUAL!M15</f>
        <v>0</v>
      </c>
      <c r="N15" s="73">
        <f>ATUAL!N15</f>
        <v>0</v>
      </c>
      <c r="O15" s="73">
        <f>ATUAL!O15</f>
        <v>0</v>
      </c>
      <c r="P15" s="73">
        <f>ATUAL!P15</f>
        <v>0</v>
      </c>
      <c r="R15" s="13">
        <f t="shared" si="1"/>
        <v>0</v>
      </c>
      <c r="S15" s="73"/>
      <c r="T15" s="73"/>
      <c r="U15" s="73">
        <f>ATUAL!U15</f>
        <v>0</v>
      </c>
      <c r="V15" s="73"/>
      <c r="W15" s="74"/>
    </row>
    <row r="16" spans="1:23" ht="14.4" x14ac:dyDescent="0.3">
      <c r="J16" s="11">
        <v>14</v>
      </c>
      <c r="K16" s="12">
        <f t="shared" si="0"/>
        <v>0</v>
      </c>
      <c r="L16" s="73">
        <f>ATUAL!L16</f>
        <v>0</v>
      </c>
      <c r="M16" s="73">
        <f>ATUAL!M16</f>
        <v>0</v>
      </c>
      <c r="N16" s="73">
        <f>ATUAL!N16</f>
        <v>0</v>
      </c>
      <c r="O16" s="73">
        <f>ATUAL!O16</f>
        <v>0</v>
      </c>
      <c r="P16" s="73">
        <f>ATUAL!P16</f>
        <v>0</v>
      </c>
      <c r="R16" s="13">
        <f t="shared" si="1"/>
        <v>0</v>
      </c>
      <c r="S16" s="73"/>
      <c r="T16" s="73"/>
      <c r="U16" s="73">
        <f>ATUAL!U16</f>
        <v>0</v>
      </c>
      <c r="V16" s="73"/>
      <c r="W16" s="74"/>
    </row>
    <row r="17" spans="10:23" ht="14.4" x14ac:dyDescent="0.3">
      <c r="J17" s="11">
        <v>15</v>
      </c>
      <c r="K17" s="12">
        <f t="shared" si="0"/>
        <v>0</v>
      </c>
      <c r="L17" s="73">
        <f>ATUAL!L17</f>
        <v>0</v>
      </c>
      <c r="M17" s="73">
        <f>ATUAL!M17</f>
        <v>0</v>
      </c>
      <c r="N17" s="73">
        <f>ATUAL!N17</f>
        <v>0</v>
      </c>
      <c r="O17" s="73">
        <f>ATUAL!O17</f>
        <v>0</v>
      </c>
      <c r="P17" s="73">
        <f>ATUAL!P17</f>
        <v>0</v>
      </c>
      <c r="R17" s="13">
        <f t="shared" si="1"/>
        <v>0</v>
      </c>
      <c r="S17" s="73"/>
      <c r="T17" s="73"/>
      <c r="U17" s="73">
        <f>ATUAL!U17</f>
        <v>0</v>
      </c>
      <c r="V17" s="73"/>
      <c r="W17" s="74"/>
    </row>
    <row r="18" spans="10:23" ht="14.4" x14ac:dyDescent="0.3">
      <c r="J18" s="11">
        <v>16</v>
      </c>
      <c r="K18" s="12">
        <f t="shared" si="0"/>
        <v>0</v>
      </c>
      <c r="L18" s="73">
        <f>ATUAL!L18</f>
        <v>0</v>
      </c>
      <c r="M18" s="73">
        <f>ATUAL!M18</f>
        <v>0</v>
      </c>
      <c r="N18" s="73">
        <f>ATUAL!N18</f>
        <v>0</v>
      </c>
      <c r="O18" s="73">
        <f>ATUAL!O18</f>
        <v>0</v>
      </c>
      <c r="P18" s="73">
        <f>ATUAL!P18</f>
        <v>0</v>
      </c>
      <c r="R18" s="13">
        <f t="shared" si="1"/>
        <v>0</v>
      </c>
      <c r="S18" s="73"/>
      <c r="T18" s="73"/>
      <c r="U18" s="73">
        <f>ATUAL!U18</f>
        <v>0</v>
      </c>
      <c r="V18" s="73"/>
      <c r="W18" s="74"/>
    </row>
    <row r="19" spans="10:23" ht="14.4" x14ac:dyDescent="0.3">
      <c r="J19" s="11">
        <v>17</v>
      </c>
      <c r="K19" s="12">
        <f t="shared" si="0"/>
        <v>0</v>
      </c>
      <c r="L19" s="73">
        <f>ATUAL!L19</f>
        <v>0</v>
      </c>
      <c r="M19" s="73">
        <f>ATUAL!M19</f>
        <v>0</v>
      </c>
      <c r="N19" s="73">
        <f>ATUAL!N19</f>
        <v>0</v>
      </c>
      <c r="O19" s="73">
        <f>ATUAL!O19</f>
        <v>0</v>
      </c>
      <c r="P19" s="73">
        <f>ATUAL!P19</f>
        <v>0</v>
      </c>
      <c r="R19" s="13">
        <f t="shared" si="1"/>
        <v>0</v>
      </c>
      <c r="S19" s="73"/>
      <c r="T19" s="73"/>
      <c r="U19" s="73">
        <f>ATUAL!U19</f>
        <v>0</v>
      </c>
      <c r="V19" s="73"/>
      <c r="W19" s="74"/>
    </row>
    <row r="20" spans="10:23" ht="14.4" x14ac:dyDescent="0.3">
      <c r="J20" s="11">
        <v>18</v>
      </c>
      <c r="K20" s="12">
        <f t="shared" si="0"/>
        <v>0</v>
      </c>
      <c r="L20" s="73">
        <f>ATUAL!L20</f>
        <v>0</v>
      </c>
      <c r="M20" s="73">
        <f>ATUAL!M20</f>
        <v>0</v>
      </c>
      <c r="N20" s="73">
        <f>ATUAL!N20</f>
        <v>0</v>
      </c>
      <c r="O20" s="73">
        <f>ATUAL!O20</f>
        <v>0</v>
      </c>
      <c r="P20" s="73">
        <f>ATUAL!P20</f>
        <v>0</v>
      </c>
      <c r="R20" s="13">
        <f t="shared" si="1"/>
        <v>0</v>
      </c>
      <c r="S20" s="73"/>
      <c r="T20" s="73"/>
      <c r="U20" s="73">
        <f>ATUAL!U20</f>
        <v>0</v>
      </c>
      <c r="V20" s="73"/>
      <c r="W20" s="74"/>
    </row>
    <row r="21" spans="10:23" ht="15.75" customHeight="1" x14ac:dyDescent="0.3">
      <c r="J21" s="11">
        <v>19</v>
      </c>
      <c r="K21" s="12">
        <f t="shared" si="0"/>
        <v>0</v>
      </c>
      <c r="L21" s="73">
        <f>ATUAL!L21</f>
        <v>0</v>
      </c>
      <c r="M21" s="73">
        <f>ATUAL!M21</f>
        <v>0</v>
      </c>
      <c r="N21" s="73">
        <f>ATUAL!N21</f>
        <v>0</v>
      </c>
      <c r="O21" s="73">
        <f>ATUAL!O21</f>
        <v>0</v>
      </c>
      <c r="P21" s="73">
        <f>ATUAL!P21</f>
        <v>0</v>
      </c>
      <c r="R21" s="13">
        <f t="shared" si="1"/>
        <v>0</v>
      </c>
      <c r="S21" s="73"/>
      <c r="T21" s="73"/>
      <c r="U21" s="73">
        <f>ATUAL!U21</f>
        <v>0</v>
      </c>
      <c r="V21" s="73"/>
      <c r="W21" s="74"/>
    </row>
    <row r="22" spans="10:23" ht="15.75" customHeight="1" x14ac:dyDescent="0.3">
      <c r="J22" s="11">
        <v>20</v>
      </c>
      <c r="K22" s="12">
        <f t="shared" si="0"/>
        <v>0</v>
      </c>
      <c r="L22" s="73">
        <f>ATUAL!L22</f>
        <v>0</v>
      </c>
      <c r="M22" s="73">
        <f>ATUAL!M22</f>
        <v>0</v>
      </c>
      <c r="N22" s="73">
        <f>ATUAL!N22</f>
        <v>0</v>
      </c>
      <c r="O22" s="73">
        <f>ATUAL!O22</f>
        <v>0</v>
      </c>
      <c r="P22" s="73">
        <f>ATUAL!P22</f>
        <v>0</v>
      </c>
      <c r="R22" s="13">
        <f t="shared" si="1"/>
        <v>0</v>
      </c>
      <c r="S22" s="73"/>
      <c r="T22" s="73"/>
      <c r="U22" s="73">
        <f>ATUAL!U22</f>
        <v>0</v>
      </c>
      <c r="V22" s="73"/>
      <c r="W22" s="74"/>
    </row>
    <row r="23" spans="10:23" ht="15.75" customHeight="1" x14ac:dyDescent="0.3">
      <c r="J23" s="11">
        <v>21</v>
      </c>
      <c r="K23" s="12">
        <f t="shared" si="0"/>
        <v>0</v>
      </c>
      <c r="L23" s="73">
        <f>ATUAL!L23</f>
        <v>0</v>
      </c>
      <c r="M23" s="73">
        <f>ATUAL!M23</f>
        <v>0</v>
      </c>
      <c r="N23" s="73">
        <f>ATUAL!N23</f>
        <v>0</v>
      </c>
      <c r="O23" s="73">
        <f>ATUAL!O23</f>
        <v>0</v>
      </c>
      <c r="P23" s="73">
        <f>ATUAL!P23</f>
        <v>0</v>
      </c>
      <c r="R23" s="13">
        <f t="shared" si="1"/>
        <v>0</v>
      </c>
      <c r="S23" s="73"/>
      <c r="T23" s="73"/>
      <c r="U23" s="73">
        <f>ATUAL!U23</f>
        <v>0</v>
      </c>
      <c r="V23" s="73"/>
      <c r="W23" s="74"/>
    </row>
    <row r="24" spans="10:23" ht="15.75" customHeight="1" x14ac:dyDescent="0.3">
      <c r="J24" s="11">
        <v>22</v>
      </c>
      <c r="K24" s="12">
        <f t="shared" si="0"/>
        <v>0</v>
      </c>
      <c r="L24" s="73">
        <f>ATUAL!L24</f>
        <v>0</v>
      </c>
      <c r="M24" s="73">
        <f>ATUAL!M24</f>
        <v>0</v>
      </c>
      <c r="N24" s="73">
        <f>ATUAL!N24</f>
        <v>0</v>
      </c>
      <c r="O24" s="73">
        <f>ATUAL!O24</f>
        <v>0</v>
      </c>
      <c r="P24" s="73">
        <f>ATUAL!P24</f>
        <v>0</v>
      </c>
      <c r="R24" s="13">
        <f t="shared" si="1"/>
        <v>0</v>
      </c>
      <c r="S24" s="73"/>
      <c r="T24" s="73"/>
      <c r="U24" s="73">
        <f>ATUAL!U24</f>
        <v>0</v>
      </c>
      <c r="V24" s="73"/>
      <c r="W24" s="74"/>
    </row>
    <row r="25" spans="10:23" ht="15.75" customHeight="1" x14ac:dyDescent="0.3">
      <c r="J25" s="11">
        <v>23</v>
      </c>
      <c r="K25" s="12">
        <f t="shared" si="0"/>
        <v>0</v>
      </c>
      <c r="L25" s="73">
        <f>ATUAL!L25</f>
        <v>0</v>
      </c>
      <c r="M25" s="73">
        <f>ATUAL!M25</f>
        <v>0</v>
      </c>
      <c r="N25" s="73">
        <f>ATUAL!N25</f>
        <v>0</v>
      </c>
      <c r="O25" s="73">
        <f>ATUAL!O25</f>
        <v>0</v>
      </c>
      <c r="P25" s="73">
        <f>ATUAL!P25</f>
        <v>0</v>
      </c>
      <c r="R25" s="13">
        <f t="shared" si="1"/>
        <v>0</v>
      </c>
      <c r="S25" s="73"/>
      <c r="T25" s="73"/>
      <c r="U25" s="73">
        <f>ATUAL!U25</f>
        <v>0</v>
      </c>
      <c r="V25" s="73"/>
      <c r="W25" s="74"/>
    </row>
    <row r="26" spans="10:23" ht="15.75" customHeight="1" x14ac:dyDescent="0.3">
      <c r="J26" s="11">
        <v>24</v>
      </c>
      <c r="K26" s="12">
        <f t="shared" si="0"/>
        <v>0</v>
      </c>
      <c r="L26" s="73">
        <f>ATUAL!L26</f>
        <v>0</v>
      </c>
      <c r="M26" s="73">
        <f>ATUAL!M26</f>
        <v>0</v>
      </c>
      <c r="N26" s="73">
        <f>ATUAL!N26</f>
        <v>0</v>
      </c>
      <c r="O26" s="73">
        <f>ATUAL!O26</f>
        <v>0</v>
      </c>
      <c r="P26" s="73">
        <f>ATUAL!P26</f>
        <v>0</v>
      </c>
      <c r="R26" s="13">
        <f t="shared" si="1"/>
        <v>0</v>
      </c>
      <c r="S26" s="73"/>
      <c r="T26" s="73"/>
      <c r="U26" s="73">
        <f>ATUAL!U26</f>
        <v>0</v>
      </c>
      <c r="V26" s="73"/>
      <c r="W26" s="74"/>
    </row>
    <row r="27" spans="10:23" ht="15.75" customHeight="1" x14ac:dyDescent="0.3">
      <c r="J27" s="11">
        <v>25</v>
      </c>
      <c r="K27" s="12">
        <f t="shared" si="0"/>
        <v>0</v>
      </c>
      <c r="L27" s="73">
        <f>ATUAL!L27</f>
        <v>0</v>
      </c>
      <c r="M27" s="73">
        <f>ATUAL!M27</f>
        <v>0</v>
      </c>
      <c r="N27" s="73">
        <f>ATUAL!N27</f>
        <v>0</v>
      </c>
      <c r="O27" s="73">
        <f>ATUAL!O27</f>
        <v>0</v>
      </c>
      <c r="P27" s="73">
        <f>ATUAL!P27</f>
        <v>0</v>
      </c>
      <c r="R27" s="13">
        <f t="shared" si="1"/>
        <v>0</v>
      </c>
      <c r="S27" s="73"/>
      <c r="T27" s="73"/>
      <c r="U27" s="73">
        <f>ATUAL!U27</f>
        <v>0</v>
      </c>
      <c r="V27" s="73"/>
      <c r="W27" s="74"/>
    </row>
    <row r="28" spans="10:23" ht="15.75" customHeight="1" x14ac:dyDescent="0.3">
      <c r="J28" s="11">
        <v>26</v>
      </c>
      <c r="K28" s="12">
        <f t="shared" si="0"/>
        <v>0</v>
      </c>
      <c r="L28" s="73">
        <f>ATUAL!L28</f>
        <v>0</v>
      </c>
      <c r="M28" s="73">
        <f>ATUAL!M28</f>
        <v>0</v>
      </c>
      <c r="N28" s="73">
        <f>ATUAL!N28</f>
        <v>0</v>
      </c>
      <c r="O28" s="73">
        <f>ATUAL!O28</f>
        <v>0</v>
      </c>
      <c r="P28" s="73">
        <f>ATUAL!P28</f>
        <v>0</v>
      </c>
      <c r="R28" s="13">
        <f t="shared" si="1"/>
        <v>0</v>
      </c>
      <c r="S28" s="73"/>
      <c r="T28" s="73"/>
      <c r="U28" s="73">
        <f>ATUAL!U28</f>
        <v>0</v>
      </c>
      <c r="V28" s="73"/>
      <c r="W28" s="74"/>
    </row>
    <row r="29" spans="10:23" ht="15.75" customHeight="1" x14ac:dyDescent="0.3">
      <c r="J29" s="11">
        <v>27</v>
      </c>
      <c r="K29" s="12">
        <f t="shared" si="0"/>
        <v>0</v>
      </c>
      <c r="L29" s="73">
        <f>ATUAL!L29</f>
        <v>0</v>
      </c>
      <c r="M29" s="73">
        <f>ATUAL!M29</f>
        <v>0</v>
      </c>
      <c r="N29" s="73">
        <f>ATUAL!N29</f>
        <v>0</v>
      </c>
      <c r="O29" s="73">
        <f>ATUAL!O29</f>
        <v>0</v>
      </c>
      <c r="P29" s="73">
        <f>ATUAL!P29</f>
        <v>0</v>
      </c>
      <c r="R29" s="13">
        <f t="shared" si="1"/>
        <v>0</v>
      </c>
      <c r="S29" s="73"/>
      <c r="T29" s="73"/>
      <c r="U29" s="73">
        <f>ATUAL!U29</f>
        <v>0</v>
      </c>
      <c r="V29" s="73"/>
      <c r="W29" s="74"/>
    </row>
    <row r="30" spans="10:23" ht="15.75" customHeight="1" x14ac:dyDescent="0.3">
      <c r="J30" s="11">
        <v>28</v>
      </c>
      <c r="K30" s="12">
        <f t="shared" si="0"/>
        <v>0</v>
      </c>
      <c r="L30" s="73">
        <f>ATUAL!L30</f>
        <v>0</v>
      </c>
      <c r="M30" s="73">
        <f>ATUAL!M30</f>
        <v>0</v>
      </c>
      <c r="N30" s="73">
        <f>ATUAL!N30</f>
        <v>0</v>
      </c>
      <c r="O30" s="73">
        <f>ATUAL!O30</f>
        <v>0</v>
      </c>
      <c r="P30" s="73">
        <f>ATUAL!P30</f>
        <v>0</v>
      </c>
      <c r="R30" s="13">
        <f t="shared" si="1"/>
        <v>0</v>
      </c>
      <c r="S30" s="73"/>
      <c r="T30" s="73"/>
      <c r="U30" s="73">
        <f>ATUAL!U30</f>
        <v>0</v>
      </c>
      <c r="V30" s="73"/>
      <c r="W30" s="74"/>
    </row>
    <row r="31" spans="10:23" ht="15.75" customHeight="1" x14ac:dyDescent="0.3">
      <c r="J31" s="11">
        <v>29</v>
      </c>
      <c r="K31" s="12">
        <f t="shared" si="0"/>
        <v>0</v>
      </c>
      <c r="L31" s="73">
        <f>ATUAL!L31</f>
        <v>0</v>
      </c>
      <c r="M31" s="73">
        <f>ATUAL!M31</f>
        <v>0</v>
      </c>
      <c r="N31" s="73">
        <f>ATUAL!N31</f>
        <v>0</v>
      </c>
      <c r="O31" s="73">
        <f>ATUAL!O31</f>
        <v>0</v>
      </c>
      <c r="P31" s="73">
        <f>ATUAL!P31</f>
        <v>0</v>
      </c>
      <c r="R31" s="13">
        <f t="shared" si="1"/>
        <v>0</v>
      </c>
      <c r="S31" s="73"/>
      <c r="T31" s="73"/>
      <c r="U31" s="73">
        <f>ATUAL!U31</f>
        <v>0</v>
      </c>
      <c r="V31" s="73"/>
      <c r="W31" s="74"/>
    </row>
    <row r="32" spans="10:23" ht="15.75" customHeight="1" x14ac:dyDescent="0.3">
      <c r="J32" s="11">
        <v>30</v>
      </c>
      <c r="K32" s="12">
        <f t="shared" si="0"/>
        <v>0</v>
      </c>
      <c r="L32" s="73">
        <f>ATUAL!L32</f>
        <v>0</v>
      </c>
      <c r="M32" s="73">
        <f>ATUAL!M32</f>
        <v>0</v>
      </c>
      <c r="N32" s="73">
        <f>ATUAL!N32</f>
        <v>0</v>
      </c>
      <c r="O32" s="73">
        <f>ATUAL!O32</f>
        <v>0</v>
      </c>
      <c r="P32" s="73">
        <f>ATUAL!P32</f>
        <v>0</v>
      </c>
      <c r="R32" s="13">
        <f t="shared" si="1"/>
        <v>0</v>
      </c>
      <c r="S32" s="73"/>
      <c r="T32" s="73"/>
      <c r="U32" s="73">
        <f>ATUAL!U32</f>
        <v>0</v>
      </c>
      <c r="V32" s="73"/>
      <c r="W32" s="74"/>
    </row>
    <row r="33" spans="10:23" ht="15.75" customHeight="1" x14ac:dyDescent="0.3">
      <c r="J33" s="11">
        <v>31</v>
      </c>
      <c r="K33" s="12">
        <f t="shared" si="0"/>
        <v>0</v>
      </c>
      <c r="L33" s="73">
        <f>ATUAL!L33</f>
        <v>0</v>
      </c>
      <c r="M33" s="73">
        <f>ATUAL!M33</f>
        <v>0</v>
      </c>
      <c r="N33" s="73">
        <f>ATUAL!N33</f>
        <v>0</v>
      </c>
      <c r="O33" s="73">
        <f>ATUAL!O33</f>
        <v>0</v>
      </c>
      <c r="P33" s="73">
        <f>ATUAL!P33</f>
        <v>0</v>
      </c>
      <c r="R33" s="13">
        <f t="shared" si="1"/>
        <v>0</v>
      </c>
      <c r="S33" s="73"/>
      <c r="T33" s="73"/>
      <c r="U33" s="73">
        <f>ATUAL!U33</f>
        <v>0</v>
      </c>
      <c r="V33" s="73"/>
      <c r="W33" s="74"/>
    </row>
    <row r="34" spans="10:23" ht="15.75" customHeight="1" x14ac:dyDescent="0.3">
      <c r="J34" s="11">
        <v>32</v>
      </c>
      <c r="K34" s="12">
        <f t="shared" si="0"/>
        <v>0</v>
      </c>
      <c r="L34" s="73">
        <f>ATUAL!L34</f>
        <v>0</v>
      </c>
      <c r="M34" s="73">
        <f>ATUAL!M34</f>
        <v>0</v>
      </c>
      <c r="N34" s="73">
        <f>ATUAL!N34</f>
        <v>0</v>
      </c>
      <c r="O34" s="73">
        <f>ATUAL!O34</f>
        <v>0</v>
      </c>
      <c r="P34" s="73">
        <f>ATUAL!P34</f>
        <v>0</v>
      </c>
      <c r="R34" s="13">
        <f t="shared" si="1"/>
        <v>0</v>
      </c>
      <c r="S34" s="73"/>
      <c r="T34" s="73"/>
      <c r="U34" s="73">
        <f>ATUAL!U34</f>
        <v>0</v>
      </c>
      <c r="V34" s="73"/>
      <c r="W34" s="74"/>
    </row>
    <row r="35" spans="10:23" ht="15.75" customHeight="1" x14ac:dyDescent="0.3">
      <c r="J35" s="11">
        <v>33</v>
      </c>
      <c r="K35" s="12">
        <f t="shared" si="0"/>
        <v>0</v>
      </c>
      <c r="L35" s="73">
        <f>ATUAL!L35</f>
        <v>0</v>
      </c>
      <c r="M35" s="73">
        <f>ATUAL!M35</f>
        <v>0</v>
      </c>
      <c r="N35" s="73">
        <f>ATUAL!N35</f>
        <v>0</v>
      </c>
      <c r="O35" s="73">
        <f>ATUAL!O35</f>
        <v>0</v>
      </c>
      <c r="P35" s="73">
        <f>ATUAL!P35</f>
        <v>0</v>
      </c>
      <c r="R35" s="13">
        <f t="shared" si="1"/>
        <v>0</v>
      </c>
      <c r="S35" s="73"/>
      <c r="T35" s="73"/>
      <c r="U35" s="73">
        <f>ATUAL!U35</f>
        <v>0</v>
      </c>
      <c r="V35" s="73"/>
      <c r="W35" s="74"/>
    </row>
    <row r="36" spans="10:23" ht="15.75" customHeight="1" x14ac:dyDescent="0.3">
      <c r="J36" s="11">
        <v>34</v>
      </c>
      <c r="K36" s="12">
        <f t="shared" si="0"/>
        <v>0</v>
      </c>
      <c r="L36" s="73">
        <f>ATUAL!L36</f>
        <v>0</v>
      </c>
      <c r="M36" s="73">
        <f>ATUAL!M36</f>
        <v>0</v>
      </c>
      <c r="N36" s="73">
        <f>ATUAL!N36</f>
        <v>0</v>
      </c>
      <c r="O36" s="73">
        <f>ATUAL!O36</f>
        <v>0</v>
      </c>
      <c r="P36" s="73">
        <f>ATUAL!P36</f>
        <v>0</v>
      </c>
      <c r="R36" s="13">
        <f t="shared" si="1"/>
        <v>0</v>
      </c>
      <c r="S36" s="73"/>
      <c r="T36" s="73"/>
      <c r="U36" s="73">
        <f>ATUAL!U36</f>
        <v>0</v>
      </c>
      <c r="V36" s="73"/>
      <c r="W36" s="74"/>
    </row>
    <row r="37" spans="10:23" ht="15.75" customHeight="1" x14ac:dyDescent="0.3">
      <c r="J37" s="11">
        <v>35</v>
      </c>
      <c r="K37" s="12">
        <f t="shared" si="0"/>
        <v>0</v>
      </c>
      <c r="L37" s="73">
        <f>ATUAL!L37</f>
        <v>0</v>
      </c>
      <c r="M37" s="73">
        <f>ATUAL!M37</f>
        <v>0</v>
      </c>
      <c r="N37" s="73">
        <f>ATUAL!N37</f>
        <v>0</v>
      </c>
      <c r="O37" s="73">
        <f>ATUAL!O37</f>
        <v>0</v>
      </c>
      <c r="P37" s="73">
        <f>ATUAL!P37</f>
        <v>0</v>
      </c>
      <c r="R37" s="13">
        <f t="shared" si="1"/>
        <v>0</v>
      </c>
      <c r="S37" s="73"/>
      <c r="T37" s="73"/>
      <c r="U37" s="73">
        <f>ATUAL!U37</f>
        <v>0</v>
      </c>
      <c r="V37" s="73"/>
      <c r="W37" s="74"/>
    </row>
    <row r="38" spans="10:23" ht="15.75" customHeight="1" x14ac:dyDescent="0.3">
      <c r="J38" s="11">
        <v>36</v>
      </c>
      <c r="K38" s="12">
        <f t="shared" si="0"/>
        <v>0</v>
      </c>
      <c r="L38" s="73">
        <f>ATUAL!L38</f>
        <v>0</v>
      </c>
      <c r="M38" s="73">
        <f>ATUAL!M38</f>
        <v>0</v>
      </c>
      <c r="N38" s="73">
        <f>ATUAL!N38</f>
        <v>0</v>
      </c>
      <c r="O38" s="73">
        <f>ATUAL!O38</f>
        <v>0</v>
      </c>
      <c r="P38" s="73">
        <f>ATUAL!P38</f>
        <v>0</v>
      </c>
      <c r="R38" s="13">
        <f t="shared" si="1"/>
        <v>0</v>
      </c>
      <c r="S38" s="73"/>
      <c r="T38" s="73"/>
      <c r="U38" s="73">
        <f>ATUAL!U38</f>
        <v>0</v>
      </c>
      <c r="V38" s="73"/>
      <c r="W38" s="74"/>
    </row>
    <row r="39" spans="10:23" ht="15.75" customHeight="1" x14ac:dyDescent="0.3">
      <c r="J39" s="11">
        <v>37</v>
      </c>
      <c r="K39" s="12">
        <f t="shared" si="0"/>
        <v>0</v>
      </c>
      <c r="L39" s="73">
        <f>ATUAL!L39</f>
        <v>0</v>
      </c>
      <c r="M39" s="73">
        <f>ATUAL!M39</f>
        <v>0</v>
      </c>
      <c r="N39" s="73">
        <f>ATUAL!N39</f>
        <v>0</v>
      </c>
      <c r="O39" s="73">
        <f>ATUAL!O39</f>
        <v>0</v>
      </c>
      <c r="P39" s="73">
        <f>ATUAL!P39</f>
        <v>0</v>
      </c>
      <c r="R39" s="13">
        <f t="shared" si="1"/>
        <v>0</v>
      </c>
      <c r="S39" s="73"/>
      <c r="T39" s="73"/>
      <c r="U39" s="73">
        <f>ATUAL!U39</f>
        <v>0</v>
      </c>
      <c r="V39" s="73"/>
      <c r="W39" s="74"/>
    </row>
    <row r="40" spans="10:23" ht="15.75" customHeight="1" x14ac:dyDescent="0.3">
      <c r="J40" s="11">
        <v>38</v>
      </c>
      <c r="K40" s="12">
        <f t="shared" si="0"/>
        <v>0</v>
      </c>
      <c r="L40" s="73">
        <f>ATUAL!L40</f>
        <v>0</v>
      </c>
      <c r="M40" s="73">
        <f>ATUAL!M40</f>
        <v>0</v>
      </c>
      <c r="N40" s="73">
        <f>ATUAL!N40</f>
        <v>0</v>
      </c>
      <c r="O40" s="73">
        <f>ATUAL!O40</f>
        <v>0</v>
      </c>
      <c r="P40" s="73">
        <f>ATUAL!P40</f>
        <v>0</v>
      </c>
      <c r="R40" s="13">
        <f t="shared" si="1"/>
        <v>0</v>
      </c>
      <c r="S40" s="73"/>
      <c r="T40" s="73"/>
      <c r="U40" s="73">
        <f>ATUAL!U40</f>
        <v>0</v>
      </c>
      <c r="V40" s="73"/>
      <c r="W40" s="74"/>
    </row>
    <row r="41" spans="10:23" ht="15.75" customHeight="1" x14ac:dyDescent="0.3">
      <c r="J41" s="11">
        <v>39</v>
      </c>
      <c r="K41" s="12">
        <f t="shared" si="0"/>
        <v>0</v>
      </c>
      <c r="L41" s="73">
        <f>ATUAL!L41</f>
        <v>0</v>
      </c>
      <c r="M41" s="73">
        <f>ATUAL!M41</f>
        <v>0</v>
      </c>
      <c r="N41" s="73">
        <f>ATUAL!N41</f>
        <v>0</v>
      </c>
      <c r="O41" s="73">
        <f>ATUAL!O41</f>
        <v>0</v>
      </c>
      <c r="P41" s="73">
        <f>ATUAL!P41</f>
        <v>0</v>
      </c>
      <c r="R41" s="13">
        <f t="shared" si="1"/>
        <v>0</v>
      </c>
      <c r="S41" s="73"/>
      <c r="T41" s="73"/>
      <c r="U41" s="73">
        <f>ATUAL!U41</f>
        <v>0</v>
      </c>
      <c r="V41" s="73"/>
      <c r="W41" s="74"/>
    </row>
    <row r="42" spans="10:23" ht="15.75" customHeight="1" x14ac:dyDescent="0.3">
      <c r="J42" s="11">
        <v>40</v>
      </c>
      <c r="K42" s="12">
        <f t="shared" si="0"/>
        <v>0</v>
      </c>
      <c r="L42" s="73">
        <f>ATUAL!L42</f>
        <v>0</v>
      </c>
      <c r="M42" s="73">
        <f>ATUAL!M42</f>
        <v>0</v>
      </c>
      <c r="N42" s="73">
        <f>ATUAL!N42</f>
        <v>0</v>
      </c>
      <c r="O42" s="73">
        <f>ATUAL!O42</f>
        <v>0</v>
      </c>
      <c r="P42" s="73">
        <f>ATUAL!P42</f>
        <v>0</v>
      </c>
      <c r="R42" s="13">
        <f t="shared" si="1"/>
        <v>0</v>
      </c>
      <c r="S42" s="73"/>
      <c r="T42" s="73"/>
      <c r="U42" s="73">
        <f>ATUAL!U42</f>
        <v>0</v>
      </c>
      <c r="V42" s="73"/>
      <c r="W42" s="74"/>
    </row>
    <row r="43" spans="10:23" ht="15.75" customHeight="1" x14ac:dyDescent="0.3">
      <c r="J43" s="11">
        <v>41</v>
      </c>
      <c r="K43" s="12">
        <f t="shared" si="0"/>
        <v>0</v>
      </c>
      <c r="L43" s="73">
        <f>ATUAL!L43</f>
        <v>0</v>
      </c>
      <c r="M43" s="73">
        <f>ATUAL!M43</f>
        <v>0</v>
      </c>
      <c r="N43" s="73">
        <f>ATUAL!N43</f>
        <v>0</v>
      </c>
      <c r="O43" s="73">
        <f>ATUAL!O43</f>
        <v>0</v>
      </c>
      <c r="P43" s="73">
        <f>ATUAL!P43</f>
        <v>0</v>
      </c>
      <c r="R43" s="13">
        <f t="shared" si="1"/>
        <v>0</v>
      </c>
      <c r="S43" s="73"/>
      <c r="T43" s="73"/>
      <c r="U43" s="73">
        <f>ATUAL!U43</f>
        <v>0</v>
      </c>
      <c r="V43" s="73"/>
      <c r="W43" s="74"/>
    </row>
    <row r="44" spans="10:23" ht="15.75" customHeight="1" x14ac:dyDescent="0.3">
      <c r="J44" s="11">
        <v>42</v>
      </c>
      <c r="K44" s="12">
        <f t="shared" si="0"/>
        <v>0</v>
      </c>
      <c r="L44" s="73">
        <f>ATUAL!L44</f>
        <v>0</v>
      </c>
      <c r="M44" s="73">
        <f>ATUAL!M44</f>
        <v>0</v>
      </c>
      <c r="N44" s="73">
        <f>ATUAL!N44</f>
        <v>0</v>
      </c>
      <c r="O44" s="73">
        <f>ATUAL!O44</f>
        <v>0</v>
      </c>
      <c r="P44" s="73">
        <f>ATUAL!P44</f>
        <v>0</v>
      </c>
      <c r="R44" s="13">
        <f t="shared" si="1"/>
        <v>0</v>
      </c>
      <c r="S44" s="73"/>
      <c r="T44" s="73"/>
      <c r="U44" s="73">
        <f>ATUAL!U44</f>
        <v>0</v>
      </c>
      <c r="V44" s="73"/>
      <c r="W44" s="74"/>
    </row>
    <row r="45" spans="10:23" ht="15.75" customHeight="1" x14ac:dyDescent="0.3">
      <c r="J45" s="11">
        <v>43</v>
      </c>
      <c r="K45" s="12">
        <f t="shared" si="0"/>
        <v>0</v>
      </c>
      <c r="L45" s="73">
        <f>ATUAL!L45</f>
        <v>0</v>
      </c>
      <c r="M45" s="73">
        <f>ATUAL!M45</f>
        <v>0</v>
      </c>
      <c r="N45" s="73">
        <f>ATUAL!N45</f>
        <v>0</v>
      </c>
      <c r="O45" s="73">
        <f>ATUAL!O45</f>
        <v>0</v>
      </c>
      <c r="P45" s="73">
        <f>ATUAL!P45</f>
        <v>0</v>
      </c>
      <c r="R45" s="13">
        <f t="shared" si="1"/>
        <v>0</v>
      </c>
      <c r="S45" s="73"/>
      <c r="T45" s="73"/>
      <c r="U45" s="73">
        <f>ATUAL!U45</f>
        <v>0</v>
      </c>
      <c r="V45" s="73"/>
      <c r="W45" s="74"/>
    </row>
    <row r="46" spans="10:23" ht="15.75" customHeight="1" x14ac:dyDescent="0.3">
      <c r="J46" s="11">
        <v>44</v>
      </c>
      <c r="K46" s="12">
        <f t="shared" si="0"/>
        <v>0</v>
      </c>
      <c r="L46" s="73">
        <f>ATUAL!L46</f>
        <v>0</v>
      </c>
      <c r="M46" s="73">
        <f>ATUAL!M46</f>
        <v>0</v>
      </c>
      <c r="N46" s="73">
        <f>ATUAL!N46</f>
        <v>0</v>
      </c>
      <c r="O46" s="73">
        <f>ATUAL!O46</f>
        <v>0</v>
      </c>
      <c r="P46" s="73">
        <f>ATUAL!P46</f>
        <v>0</v>
      </c>
      <c r="R46" s="13">
        <f t="shared" si="1"/>
        <v>0</v>
      </c>
      <c r="S46" s="73"/>
      <c r="T46" s="73"/>
      <c r="U46" s="73">
        <f>ATUAL!U46</f>
        <v>0</v>
      </c>
      <c r="V46" s="73"/>
      <c r="W46" s="74"/>
    </row>
    <row r="47" spans="10:23" ht="15.75" customHeight="1" x14ac:dyDescent="0.3">
      <c r="J47" s="11">
        <v>45</v>
      </c>
      <c r="K47" s="12">
        <f t="shared" si="0"/>
        <v>0</v>
      </c>
      <c r="L47" s="73">
        <f>ATUAL!L47</f>
        <v>0</v>
      </c>
      <c r="M47" s="73">
        <f>ATUAL!M47</f>
        <v>0</v>
      </c>
      <c r="N47" s="73">
        <f>ATUAL!N47</f>
        <v>0</v>
      </c>
      <c r="O47" s="73">
        <f>ATUAL!O47</f>
        <v>0</v>
      </c>
      <c r="P47" s="73">
        <f>ATUAL!P47</f>
        <v>0</v>
      </c>
      <c r="R47" s="13">
        <f t="shared" si="1"/>
        <v>0</v>
      </c>
      <c r="S47" s="73"/>
      <c r="T47" s="73"/>
      <c r="U47" s="73">
        <f>ATUAL!U47</f>
        <v>0</v>
      </c>
      <c r="V47" s="73"/>
      <c r="W47" s="74"/>
    </row>
    <row r="48" spans="10:23" ht="15.75" customHeight="1" x14ac:dyDescent="0.3">
      <c r="J48" s="11">
        <v>46</v>
      </c>
      <c r="K48" s="12">
        <f t="shared" si="0"/>
        <v>0</v>
      </c>
      <c r="L48" s="73">
        <f>ATUAL!L48</f>
        <v>0</v>
      </c>
      <c r="M48" s="73">
        <f>ATUAL!M48</f>
        <v>0</v>
      </c>
      <c r="N48" s="73">
        <f>ATUAL!N48</f>
        <v>0</v>
      </c>
      <c r="O48" s="73">
        <f>ATUAL!O48</f>
        <v>0</v>
      </c>
      <c r="P48" s="73">
        <f>ATUAL!P48</f>
        <v>0</v>
      </c>
      <c r="R48" s="13">
        <f t="shared" si="1"/>
        <v>0</v>
      </c>
      <c r="S48" s="73"/>
      <c r="T48" s="73"/>
      <c r="U48" s="73">
        <f>ATUAL!U48</f>
        <v>0</v>
      </c>
      <c r="V48" s="73"/>
      <c r="W48" s="74"/>
    </row>
    <row r="49" spans="10:23" ht="15.75" customHeight="1" x14ac:dyDescent="0.3">
      <c r="J49" s="11">
        <v>47</v>
      </c>
      <c r="K49" s="12">
        <f t="shared" si="0"/>
        <v>0</v>
      </c>
      <c r="L49" s="73">
        <f>ATUAL!L49</f>
        <v>0</v>
      </c>
      <c r="M49" s="73">
        <f>ATUAL!M49</f>
        <v>0</v>
      </c>
      <c r="N49" s="73">
        <f>ATUAL!N49</f>
        <v>0</v>
      </c>
      <c r="O49" s="73">
        <f>ATUAL!O49</f>
        <v>0</v>
      </c>
      <c r="P49" s="73">
        <f>ATUAL!P49</f>
        <v>0</v>
      </c>
      <c r="R49" s="13">
        <f t="shared" si="1"/>
        <v>0</v>
      </c>
      <c r="S49" s="73"/>
      <c r="T49" s="73"/>
      <c r="U49" s="73">
        <f>ATUAL!U49</f>
        <v>0</v>
      </c>
      <c r="V49" s="73"/>
      <c r="W49" s="74"/>
    </row>
    <row r="50" spans="10:23" ht="15.75" customHeight="1" x14ac:dyDescent="0.3">
      <c r="J50" s="11">
        <v>48</v>
      </c>
      <c r="K50" s="12">
        <f t="shared" si="0"/>
        <v>0</v>
      </c>
      <c r="L50" s="73">
        <f>ATUAL!L50</f>
        <v>0</v>
      </c>
      <c r="M50" s="73">
        <f>ATUAL!M50</f>
        <v>0</v>
      </c>
      <c r="N50" s="73">
        <f>ATUAL!N50</f>
        <v>0</v>
      </c>
      <c r="O50" s="73">
        <f>ATUAL!O50</f>
        <v>0</v>
      </c>
      <c r="P50" s="73">
        <f>ATUAL!P50</f>
        <v>0</v>
      </c>
      <c r="R50" s="13">
        <f t="shared" si="1"/>
        <v>0</v>
      </c>
      <c r="S50" s="73"/>
      <c r="T50" s="73"/>
      <c r="U50" s="73">
        <f>ATUAL!U50</f>
        <v>0</v>
      </c>
      <c r="V50" s="73"/>
      <c r="W50" s="74"/>
    </row>
    <row r="51" spans="10:23" ht="15.75" customHeight="1" x14ac:dyDescent="0.3">
      <c r="J51" s="11">
        <v>49</v>
      </c>
      <c r="K51" s="12">
        <f t="shared" si="0"/>
        <v>0</v>
      </c>
      <c r="L51" s="73">
        <f>ATUAL!L51</f>
        <v>0</v>
      </c>
      <c r="M51" s="73">
        <f>ATUAL!M51</f>
        <v>0</v>
      </c>
      <c r="N51" s="73">
        <f>ATUAL!N51</f>
        <v>0</v>
      </c>
      <c r="O51" s="73">
        <f>ATUAL!O51</f>
        <v>0</v>
      </c>
      <c r="P51" s="73">
        <f>ATUAL!P51</f>
        <v>0</v>
      </c>
      <c r="R51" s="13">
        <f t="shared" si="1"/>
        <v>0</v>
      </c>
      <c r="S51" s="73"/>
      <c r="T51" s="73"/>
      <c r="U51" s="73">
        <f>ATUAL!U51</f>
        <v>0</v>
      </c>
      <c r="V51" s="73"/>
      <c r="W51" s="74"/>
    </row>
    <row r="52" spans="10:23" ht="15.75" customHeight="1" x14ac:dyDescent="0.3">
      <c r="J52" s="11">
        <v>50</v>
      </c>
      <c r="K52" s="12">
        <f t="shared" si="0"/>
        <v>0</v>
      </c>
      <c r="L52" s="73">
        <f>ATUAL!L52</f>
        <v>0</v>
      </c>
      <c r="M52" s="73">
        <f>ATUAL!M52</f>
        <v>0</v>
      </c>
      <c r="N52" s="73">
        <f>ATUAL!N52</f>
        <v>0</v>
      </c>
      <c r="O52" s="73">
        <f>ATUAL!O52</f>
        <v>0</v>
      </c>
      <c r="P52" s="73">
        <f>ATUAL!P52</f>
        <v>0</v>
      </c>
      <c r="R52" s="13">
        <f t="shared" si="1"/>
        <v>0</v>
      </c>
      <c r="S52" s="73"/>
      <c r="T52" s="73"/>
      <c r="U52" s="73">
        <f>ATUAL!U52</f>
        <v>0</v>
      </c>
      <c r="V52" s="73"/>
      <c r="W52" s="74"/>
    </row>
    <row r="53" spans="10:23" ht="15.75" customHeight="1" x14ac:dyDescent="0.3">
      <c r="J53" s="11">
        <v>51</v>
      </c>
      <c r="K53" s="12">
        <f t="shared" si="0"/>
        <v>0</v>
      </c>
      <c r="L53" s="73">
        <f>ATUAL!L53</f>
        <v>0</v>
      </c>
      <c r="M53" s="73">
        <f>ATUAL!M53</f>
        <v>0</v>
      </c>
      <c r="N53" s="73">
        <f>ATUAL!N53</f>
        <v>0</v>
      </c>
      <c r="O53" s="73">
        <f>ATUAL!O53</f>
        <v>0</v>
      </c>
      <c r="P53" s="73">
        <f>ATUAL!P53</f>
        <v>0</v>
      </c>
      <c r="R53" s="13">
        <f t="shared" si="1"/>
        <v>0</v>
      </c>
      <c r="S53" s="73"/>
      <c r="T53" s="73"/>
      <c r="U53" s="73">
        <f>ATUAL!U53</f>
        <v>0</v>
      </c>
      <c r="V53" s="73"/>
      <c r="W53" s="74"/>
    </row>
    <row r="54" spans="10:23" ht="15.75" customHeight="1" x14ac:dyDescent="0.3">
      <c r="J54" s="11">
        <v>52</v>
      </c>
      <c r="K54" s="12">
        <f t="shared" si="0"/>
        <v>0</v>
      </c>
      <c r="L54" s="73">
        <f>ATUAL!L54</f>
        <v>0</v>
      </c>
      <c r="M54" s="73">
        <f>ATUAL!M54</f>
        <v>0</v>
      </c>
      <c r="N54" s="73">
        <f>ATUAL!N54</f>
        <v>0</v>
      </c>
      <c r="O54" s="73">
        <f>ATUAL!O54</f>
        <v>0</v>
      </c>
      <c r="P54" s="73">
        <f>ATUAL!P54</f>
        <v>0</v>
      </c>
      <c r="R54" s="13">
        <f t="shared" si="1"/>
        <v>0</v>
      </c>
      <c r="S54" s="73"/>
      <c r="T54" s="73"/>
      <c r="U54" s="73">
        <f>ATUAL!U54</f>
        <v>0</v>
      </c>
      <c r="V54" s="73"/>
      <c r="W54" s="74"/>
    </row>
    <row r="55" spans="10:23" ht="15.75" customHeight="1" x14ac:dyDescent="0.3">
      <c r="J55" s="11">
        <v>53</v>
      </c>
      <c r="K55" s="12">
        <f t="shared" si="0"/>
        <v>0</v>
      </c>
      <c r="L55" s="73">
        <f>ATUAL!L55</f>
        <v>0</v>
      </c>
      <c r="M55" s="73">
        <f>ATUAL!M55</f>
        <v>0</v>
      </c>
      <c r="N55" s="73">
        <f>ATUAL!N55</f>
        <v>0</v>
      </c>
      <c r="O55" s="73">
        <f>ATUAL!O55</f>
        <v>0</v>
      </c>
      <c r="P55" s="73">
        <f>ATUAL!P55</f>
        <v>0</v>
      </c>
      <c r="R55" s="13">
        <f t="shared" si="1"/>
        <v>0</v>
      </c>
      <c r="S55" s="73"/>
      <c r="T55" s="73"/>
      <c r="U55" s="73">
        <f>ATUAL!U55</f>
        <v>0</v>
      </c>
      <c r="V55" s="73"/>
      <c r="W55" s="74"/>
    </row>
    <row r="56" spans="10:23" ht="15.75" customHeight="1" x14ac:dyDescent="0.3">
      <c r="J56" s="11">
        <v>54</v>
      </c>
      <c r="K56" s="12">
        <f t="shared" si="0"/>
        <v>0</v>
      </c>
      <c r="L56" s="73">
        <f>ATUAL!L56</f>
        <v>0</v>
      </c>
      <c r="M56" s="73">
        <f>ATUAL!M56</f>
        <v>0</v>
      </c>
      <c r="N56" s="73">
        <f>ATUAL!N56</f>
        <v>0</v>
      </c>
      <c r="O56" s="73">
        <f>ATUAL!O56</f>
        <v>0</v>
      </c>
      <c r="P56" s="73">
        <f>ATUAL!P56</f>
        <v>0</v>
      </c>
      <c r="R56" s="13">
        <f t="shared" si="1"/>
        <v>0</v>
      </c>
      <c r="S56" s="73"/>
      <c r="T56" s="73"/>
      <c r="U56" s="73">
        <f>ATUAL!U56</f>
        <v>0</v>
      </c>
      <c r="V56" s="73"/>
      <c r="W56" s="74"/>
    </row>
    <row r="57" spans="10:23" ht="15.75" customHeight="1" thickBot="1" x14ac:dyDescent="0.35">
      <c r="J57" s="17">
        <v>55</v>
      </c>
      <c r="K57" s="21">
        <f t="shared" si="0"/>
        <v>0</v>
      </c>
      <c r="L57" s="73">
        <f>ATUAL!L57</f>
        <v>0</v>
      </c>
      <c r="M57" s="73">
        <f>ATUAL!M57</f>
        <v>0</v>
      </c>
      <c r="N57" s="73">
        <f>ATUAL!N57</f>
        <v>0</v>
      </c>
      <c r="O57" s="73">
        <f>ATUAL!O57</f>
        <v>0</v>
      </c>
      <c r="P57" s="73">
        <f>ATUAL!P57</f>
        <v>0</v>
      </c>
      <c r="R57" s="22">
        <f t="shared" si="1"/>
        <v>0</v>
      </c>
      <c r="S57" s="75"/>
      <c r="T57" s="75"/>
      <c r="U57" s="73">
        <f>ATUAL!U57</f>
        <v>0</v>
      </c>
      <c r="V57" s="75"/>
      <c r="W57" s="76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S1:S2"/>
    <mergeCell ref="T1:T2"/>
    <mergeCell ref="U1:U2"/>
    <mergeCell ref="V1:V2"/>
    <mergeCell ref="W1:W2"/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</mergeCells>
  <conditionalFormatting sqref="L3:P57">
    <cfRule type="cellIs" dxfId="15" priority="2" operator="equal">
      <formula>0</formula>
    </cfRule>
  </conditionalFormatting>
  <conditionalFormatting sqref="U3:U57">
    <cfRule type="cellIs" dxfId="14" priority="1" operator="equal">
      <formula>0</formula>
    </cfRule>
  </conditionalFormatting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DADOS!$B$2:$B$5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L1000"/>
  <sheetViews>
    <sheetView showGridLines="0" zoomScale="85" zoomScaleNormal="85" workbookViewId="0">
      <selection activeCell="D16" sqref="D16"/>
    </sheetView>
  </sheetViews>
  <sheetFormatPr defaultColWidth="14.44140625" defaultRowHeight="15" customHeight="1" x14ac:dyDescent="0.3"/>
  <cols>
    <col min="1" max="1" width="21.88671875" customWidth="1"/>
    <col min="2" max="2" width="33" customWidth="1"/>
    <col min="3" max="3" width="14" customWidth="1"/>
    <col min="4" max="4" width="18.109375" customWidth="1"/>
    <col min="5" max="6" width="20.33203125" customWidth="1"/>
    <col min="7" max="7" width="21.44140625" customWidth="1"/>
    <col min="8" max="8" width="12.88671875" customWidth="1"/>
    <col min="9" max="9" width="22" customWidth="1"/>
    <col min="10" max="10" width="9.33203125" customWidth="1"/>
    <col min="11" max="11" width="10.6640625" customWidth="1"/>
    <col min="12" max="26" width="8.6640625" customWidth="1"/>
  </cols>
  <sheetData>
    <row r="1" spans="1:12" ht="15" customHeight="1" x14ac:dyDescent="0.3">
      <c r="A1" s="23" t="s">
        <v>26</v>
      </c>
      <c r="B1" s="42" t="str">
        <f>'CQT ATUAL'!B1</f>
        <v>A052750522</v>
      </c>
      <c r="G1" s="100" t="s">
        <v>27</v>
      </c>
    </row>
    <row r="2" spans="1:12" ht="14.4" x14ac:dyDescent="0.3">
      <c r="A2" s="43"/>
      <c r="G2" s="78"/>
    </row>
    <row r="3" spans="1:12" ht="14.4" x14ac:dyDescent="0.3">
      <c r="A3" s="23" t="s">
        <v>28</v>
      </c>
      <c r="B3" s="25" t="s">
        <v>238</v>
      </c>
      <c r="D3" s="97" t="s">
        <v>30</v>
      </c>
      <c r="E3" s="96"/>
      <c r="F3" s="26">
        <f>'CQT ATUAL'!F3</f>
        <v>75</v>
      </c>
      <c r="G3" s="27">
        <f>(F5)/F3</f>
        <v>1.696</v>
      </c>
    </row>
    <row r="4" spans="1:12" ht="28.8" x14ac:dyDescent="0.3">
      <c r="A4" s="28" t="s">
        <v>31</v>
      </c>
      <c r="B4" s="29">
        <f>VLOOKUP(B3,'BASE DE DADOS'!P:R,2,0)</f>
        <v>3.5000000000000003E-2</v>
      </c>
      <c r="D4" s="94" t="s">
        <v>32</v>
      </c>
      <c r="E4" s="96"/>
      <c r="F4" s="25" t="str">
        <f>'CQT ATUAL'!F4</f>
        <v>C380653</v>
      </c>
    </row>
    <row r="5" spans="1:12" ht="30" customHeight="1" x14ac:dyDescent="0.3">
      <c r="A5" s="28" t="s">
        <v>33</v>
      </c>
      <c r="B5" s="30">
        <v>1</v>
      </c>
      <c r="D5" s="101" t="s">
        <v>34</v>
      </c>
      <c r="E5" s="96"/>
      <c r="F5" s="31">
        <f>SUM('ATUAL+NC'!K3:K57)+SUM('ATUAL+NC'!R3:R57)</f>
        <v>127.2</v>
      </c>
    </row>
    <row r="7" spans="1:12" ht="14.4" x14ac:dyDescent="0.3">
      <c r="A7" s="97" t="s">
        <v>35</v>
      </c>
      <c r="B7" s="95"/>
      <c r="C7" s="96"/>
      <c r="D7" s="97" t="s">
        <v>36</v>
      </c>
      <c r="E7" s="95"/>
      <c r="F7" s="95"/>
      <c r="G7" s="95"/>
      <c r="H7" s="96"/>
      <c r="I7" s="93" t="s">
        <v>37</v>
      </c>
      <c r="J7" s="94" t="s">
        <v>38</v>
      </c>
      <c r="K7" s="95"/>
      <c r="L7" s="96"/>
    </row>
    <row r="8" spans="1:12" ht="30" customHeight="1" x14ac:dyDescent="0.3">
      <c r="A8" s="32" t="s">
        <v>7</v>
      </c>
      <c r="B8" s="98" t="s">
        <v>39</v>
      </c>
      <c r="C8" s="32" t="s">
        <v>40</v>
      </c>
      <c r="D8" s="99" t="s">
        <v>41</v>
      </c>
      <c r="E8" s="95"/>
      <c r="F8" s="96"/>
      <c r="G8" s="28" t="s">
        <v>42</v>
      </c>
      <c r="H8" s="33" t="s">
        <v>43</v>
      </c>
      <c r="I8" s="78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78"/>
      <c r="C9" s="23" t="s">
        <v>47</v>
      </c>
      <c r="D9" s="97" t="s">
        <v>48</v>
      </c>
      <c r="E9" s="95"/>
      <c r="F9" s="96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41" t="str">
        <f>'CQT ATUAL'!B11</f>
        <v>TRAFO</v>
      </c>
      <c r="C11" s="41">
        <f>'CQT ATUAL'!C11</f>
        <v>0.35</v>
      </c>
      <c r="D11" s="31">
        <f>'ATUAL+NC'!K4</f>
        <v>0</v>
      </c>
      <c r="E11" s="31">
        <f>'ATUAL+NC'!R4</f>
        <v>0</v>
      </c>
      <c r="F11" s="31">
        <f>D11+E11</f>
        <v>0</v>
      </c>
      <c r="G11" s="31">
        <f t="shared" ref="G11:G64" si="0">SUMIF($B$11:$B$64,A11,$G$11:$G$64)+F11</f>
        <v>52.2</v>
      </c>
      <c r="H11" s="31">
        <f t="shared" ref="H11:H64" si="1">((D11/2)+G11)*C11</f>
        <v>18.27</v>
      </c>
      <c r="I11" s="37" t="s">
        <v>74</v>
      </c>
      <c r="J11" s="30">
        <f>IFERROR(VLOOKUP(I11,'BASE DE DADOS'!$A$4:$B$83,2,0)," ")</f>
        <v>0.1784</v>
      </c>
      <c r="K11" s="31">
        <f t="shared" ref="K11:K64" si="2">IFERROR(H11*J11," ")</f>
        <v>3.2593679999999998</v>
      </c>
      <c r="L11" s="38">
        <f t="shared" ref="L11:L64" si="3">IFERROR(IF(B11="TRAFO",K11,SUMIFS($L$11:$L$64,$A$11:$A$64,B11)+K11)," ")</f>
        <v>3.2593679999999998</v>
      </c>
    </row>
    <row r="12" spans="1:12" ht="14.4" x14ac:dyDescent="0.3">
      <c r="A12" s="30">
        <v>3</v>
      </c>
      <c r="B12" s="41">
        <f>'CQT ATUAL'!B12</f>
        <v>2</v>
      </c>
      <c r="C12" s="41">
        <f>'CQT ATUAL'!C12</f>
        <v>0.12</v>
      </c>
      <c r="D12" s="31">
        <f>'ATUAL+NC'!K5</f>
        <v>0</v>
      </c>
      <c r="E12" s="31">
        <f>'ATUAL+NC'!R5</f>
        <v>0</v>
      </c>
      <c r="F12" s="31">
        <f t="shared" ref="F12:F64" si="4">D12+E12</f>
        <v>0</v>
      </c>
      <c r="G12" s="31">
        <f t="shared" si="0"/>
        <v>52.2</v>
      </c>
      <c r="H12" s="31">
        <f t="shared" si="1"/>
        <v>6.2640000000000002</v>
      </c>
      <c r="I12" s="37" t="s">
        <v>74</v>
      </c>
      <c r="J12" s="30">
        <f>IFERROR(VLOOKUP(I12,'BASE DE DADOS'!$A$4:$B$83,2,0)," ")</f>
        <v>0.1784</v>
      </c>
      <c r="K12" s="31">
        <f t="shared" si="2"/>
        <v>1.1174976000000001</v>
      </c>
      <c r="L12" s="38">
        <f t="shared" si="3"/>
        <v>4.3768656000000004</v>
      </c>
    </row>
    <row r="13" spans="1:12" ht="14.4" x14ac:dyDescent="0.3">
      <c r="A13" s="30">
        <v>4</v>
      </c>
      <c r="B13" s="41">
        <f>'CQT ATUAL'!B13</f>
        <v>3</v>
      </c>
      <c r="C13" s="41">
        <f>'CQT ATUAL'!C13</f>
        <v>0.4</v>
      </c>
      <c r="D13" s="31">
        <f>'ATUAL+NC'!K6</f>
        <v>0</v>
      </c>
      <c r="E13" s="31">
        <f>'ATUAL+NC'!R6</f>
        <v>0</v>
      </c>
      <c r="F13" s="31">
        <f t="shared" si="4"/>
        <v>0</v>
      </c>
      <c r="G13" s="31">
        <f t="shared" si="0"/>
        <v>52.2</v>
      </c>
      <c r="H13" s="31">
        <f t="shared" si="1"/>
        <v>20.880000000000003</v>
      </c>
      <c r="I13" s="37" t="s">
        <v>74</v>
      </c>
      <c r="J13" s="30">
        <f>IFERROR(VLOOKUP(I13,'BASE DE DADOS'!$A$4:$B$83,2,0)," ")</f>
        <v>0.1784</v>
      </c>
      <c r="K13" s="31">
        <f t="shared" si="2"/>
        <v>3.7249920000000003</v>
      </c>
      <c r="L13" s="38">
        <f t="shared" si="3"/>
        <v>8.1018576000000007</v>
      </c>
    </row>
    <row r="14" spans="1:12" ht="14.4" x14ac:dyDescent="0.3">
      <c r="A14" s="30">
        <v>5</v>
      </c>
      <c r="B14" s="41">
        <f>'CQT ATUAL'!B14</f>
        <v>4</v>
      </c>
      <c r="C14" s="41">
        <f>'CQT ATUAL'!C14</f>
        <v>0.4</v>
      </c>
      <c r="D14" s="31">
        <f>'ATUAL+NC'!K7</f>
        <v>49</v>
      </c>
      <c r="E14" s="31">
        <f>'ATUAL+NC'!R7</f>
        <v>0</v>
      </c>
      <c r="F14" s="31">
        <f t="shared" si="4"/>
        <v>49</v>
      </c>
      <c r="G14" s="31">
        <f t="shared" si="0"/>
        <v>52.2</v>
      </c>
      <c r="H14" s="31">
        <f t="shared" si="1"/>
        <v>30.680000000000003</v>
      </c>
      <c r="I14" s="37" t="s">
        <v>74</v>
      </c>
      <c r="J14" s="30">
        <f>IFERROR(VLOOKUP(I14,'BASE DE DADOS'!$A$4:$B$83,2,0)," ")</f>
        <v>0.1784</v>
      </c>
      <c r="K14" s="31">
        <f t="shared" si="2"/>
        <v>5.4733120000000008</v>
      </c>
      <c r="L14" s="38">
        <f t="shared" si="3"/>
        <v>13.575169600000002</v>
      </c>
    </row>
    <row r="15" spans="1:12" ht="14.4" x14ac:dyDescent="0.3">
      <c r="A15" s="30">
        <v>6</v>
      </c>
      <c r="B15" s="41">
        <f>'CQT ATUAL'!B15</f>
        <v>5</v>
      </c>
      <c r="C15" s="41">
        <f>'CQT ATUAL'!C15</f>
        <v>0.4</v>
      </c>
      <c r="D15" s="31">
        <f>'ATUAL+NC'!K8</f>
        <v>3.2</v>
      </c>
      <c r="E15" s="31">
        <f>'ATUAL+NC'!R8</f>
        <v>0</v>
      </c>
      <c r="F15" s="31">
        <f t="shared" si="4"/>
        <v>3.2</v>
      </c>
      <c r="G15" s="31">
        <f t="shared" si="0"/>
        <v>3.2</v>
      </c>
      <c r="H15" s="31">
        <f t="shared" si="1"/>
        <v>1.9200000000000004</v>
      </c>
      <c r="I15" s="37" t="s">
        <v>74</v>
      </c>
      <c r="J15" s="30">
        <f>IFERROR(VLOOKUP(I15,'BASE DE DADOS'!$A$4:$B$83,2,0)," ")</f>
        <v>0.1784</v>
      </c>
      <c r="K15" s="31">
        <f t="shared" si="2"/>
        <v>0.34252800000000005</v>
      </c>
      <c r="L15" s="38">
        <f t="shared" si="3"/>
        <v>13.917697600000002</v>
      </c>
    </row>
    <row r="16" spans="1:12" ht="14.4" x14ac:dyDescent="0.3">
      <c r="A16" s="30">
        <v>7</v>
      </c>
      <c r="B16" s="41">
        <f>'CQT ATUAL'!B16</f>
        <v>0</v>
      </c>
      <c r="C16" s="41">
        <f>'CQT ATUAL'!C16</f>
        <v>0</v>
      </c>
      <c r="D16" s="31">
        <f>'ATUAL+NC'!K9</f>
        <v>0</v>
      </c>
      <c r="E16" s="31">
        <f>'ATUAL+NC'!R9</f>
        <v>0</v>
      </c>
      <c r="F16" s="31">
        <f t="shared" si="4"/>
        <v>0</v>
      </c>
      <c r="G16" s="31">
        <f t="shared" si="0"/>
        <v>0</v>
      </c>
      <c r="H16" s="31">
        <f t="shared" si="1"/>
        <v>0</v>
      </c>
      <c r="I16" s="25"/>
      <c r="J16" s="30" t="str">
        <f>IFERROR(VLOOKUP(I16,'BASE DE DADOS'!$A$4:$B$83,2,0)," ")</f>
        <v xml:space="preserve"> </v>
      </c>
      <c r="K16" s="31" t="str">
        <f t="shared" si="2"/>
        <v xml:space="preserve"> </v>
      </c>
      <c r="L16" s="38" t="str">
        <f t="shared" si="3"/>
        <v xml:space="preserve"> </v>
      </c>
    </row>
    <row r="17" spans="1:12" ht="14.4" x14ac:dyDescent="0.3">
      <c r="A17" s="30">
        <v>8</v>
      </c>
      <c r="B17" s="41">
        <f>'CQT ATUAL'!B17</f>
        <v>0</v>
      </c>
      <c r="C17" s="41">
        <f>'CQT ATUAL'!C17</f>
        <v>0</v>
      </c>
      <c r="D17" s="31">
        <f>'ATUAL+NC'!K10</f>
        <v>0</v>
      </c>
      <c r="E17" s="31">
        <f>'ATUAL+NC'!R10</f>
        <v>0</v>
      </c>
      <c r="F17" s="31">
        <f t="shared" si="4"/>
        <v>0</v>
      </c>
      <c r="G17" s="31">
        <f t="shared" si="0"/>
        <v>0</v>
      </c>
      <c r="H17" s="31">
        <f t="shared" si="1"/>
        <v>0</v>
      </c>
      <c r="I17" s="25"/>
      <c r="J17" s="30" t="str">
        <f>IFERROR(VLOOKUP(I17,'BASE DE DADOS'!$A$4:$B$83,2,0)," ")</f>
        <v xml:space="preserve"> </v>
      </c>
      <c r="K17" s="31" t="str">
        <f t="shared" si="2"/>
        <v xml:space="preserve"> </v>
      </c>
      <c r="L17" s="38" t="str">
        <f t="shared" si="3"/>
        <v xml:space="preserve"> </v>
      </c>
    </row>
    <row r="18" spans="1:12" ht="14.4" x14ac:dyDescent="0.3">
      <c r="A18" s="30">
        <v>9</v>
      </c>
      <c r="B18" s="41">
        <f>'CQT ATUAL'!B18</f>
        <v>0</v>
      </c>
      <c r="C18" s="41">
        <f>'CQT ATUAL'!C18</f>
        <v>0</v>
      </c>
      <c r="D18" s="31">
        <f>'ATUAL+NC'!K11</f>
        <v>0</v>
      </c>
      <c r="E18" s="31">
        <f>'ATUAL+NC'!R11</f>
        <v>0</v>
      </c>
      <c r="F18" s="31">
        <f t="shared" si="4"/>
        <v>0</v>
      </c>
      <c r="G18" s="31">
        <f t="shared" si="0"/>
        <v>0</v>
      </c>
      <c r="H18" s="31">
        <f t="shared" si="1"/>
        <v>0</v>
      </c>
      <c r="I18" s="25"/>
      <c r="J18" s="30" t="str">
        <f>IFERROR(VLOOKUP(I18,'BASE DE DADOS'!$A$4:$B$83,2,0)," ")</f>
        <v xml:space="preserve"> </v>
      </c>
      <c r="K18" s="31" t="str">
        <f t="shared" si="2"/>
        <v xml:space="preserve"> </v>
      </c>
      <c r="L18" s="38" t="str">
        <f t="shared" si="3"/>
        <v xml:space="preserve"> </v>
      </c>
    </row>
    <row r="19" spans="1:12" ht="14.4" x14ac:dyDescent="0.3">
      <c r="A19" s="30">
        <v>10</v>
      </c>
      <c r="B19" s="41">
        <f>'CQT ATUAL'!B19</f>
        <v>0</v>
      </c>
      <c r="C19" s="41">
        <f>'CQT ATUAL'!C19</f>
        <v>0</v>
      </c>
      <c r="D19" s="31">
        <f>'ATUAL+NC'!K12</f>
        <v>0</v>
      </c>
      <c r="E19" s="31">
        <f>'ATUAL+NC'!R12</f>
        <v>0</v>
      </c>
      <c r="F19" s="31">
        <f t="shared" si="4"/>
        <v>0</v>
      </c>
      <c r="G19" s="31">
        <f t="shared" si="0"/>
        <v>0</v>
      </c>
      <c r="H19" s="31">
        <f t="shared" si="1"/>
        <v>0</v>
      </c>
      <c r="I19" s="25"/>
      <c r="J19" s="30" t="str">
        <f>IFERROR(VLOOKUP(I19,'BASE DE DADOS'!$A$4:$B$83,2,0)," ")</f>
        <v xml:space="preserve"> </v>
      </c>
      <c r="K19" s="31" t="str">
        <f t="shared" si="2"/>
        <v xml:space="preserve"> </v>
      </c>
      <c r="L19" s="38" t="str">
        <f t="shared" si="3"/>
        <v xml:space="preserve"> </v>
      </c>
    </row>
    <row r="20" spans="1:12" ht="14.4" x14ac:dyDescent="0.3">
      <c r="A20" s="30">
        <v>11</v>
      </c>
      <c r="B20" s="41">
        <f>'CQT ATUAL'!B20</f>
        <v>0</v>
      </c>
      <c r="C20" s="41">
        <f>'CQT ATUAL'!C20</f>
        <v>0</v>
      </c>
      <c r="D20" s="31">
        <f>'ATUAL+NC'!K13</f>
        <v>0</v>
      </c>
      <c r="E20" s="31">
        <f>'ATUAL+NC'!R13</f>
        <v>0</v>
      </c>
      <c r="F20" s="31">
        <f t="shared" si="4"/>
        <v>0</v>
      </c>
      <c r="G20" s="31">
        <f t="shared" si="0"/>
        <v>0</v>
      </c>
      <c r="H20" s="31">
        <f t="shared" si="1"/>
        <v>0</v>
      </c>
      <c r="I20" s="25"/>
      <c r="J20" s="30" t="str">
        <f>IFERROR(VLOOKUP(I20,'BASE DE DADOS'!$A$4:$B$83,2,0)," ")</f>
        <v xml:space="preserve"> </v>
      </c>
      <c r="K20" s="31" t="str">
        <f t="shared" si="2"/>
        <v xml:space="preserve"> </v>
      </c>
      <c r="L20" s="38" t="str">
        <f t="shared" si="3"/>
        <v xml:space="preserve"> </v>
      </c>
    </row>
    <row r="21" spans="1:12" ht="15.75" customHeight="1" x14ac:dyDescent="0.3">
      <c r="A21" s="30">
        <v>12</v>
      </c>
      <c r="B21" s="41">
        <f>'CQT ATUAL'!B21</f>
        <v>0</v>
      </c>
      <c r="C21" s="41">
        <f>'CQT ATUAL'!C21</f>
        <v>0</v>
      </c>
      <c r="D21" s="31">
        <f>'ATUAL+NC'!K14</f>
        <v>0</v>
      </c>
      <c r="E21" s="31">
        <f>'ATUAL+NC'!R14</f>
        <v>0</v>
      </c>
      <c r="F21" s="31">
        <f t="shared" si="4"/>
        <v>0</v>
      </c>
      <c r="G21" s="31">
        <f t="shared" si="0"/>
        <v>0</v>
      </c>
      <c r="H21" s="31">
        <f t="shared" si="1"/>
        <v>0</v>
      </c>
      <c r="I21" s="25"/>
      <c r="J21" s="30" t="str">
        <f>IFERROR(VLOOKUP(I21,'BASE DE DADOS'!$A$4:$B$83,2,0)," ")</f>
        <v xml:space="preserve"> </v>
      </c>
      <c r="K21" s="31" t="str">
        <f t="shared" si="2"/>
        <v xml:space="preserve"> </v>
      </c>
      <c r="L21" s="38" t="str">
        <f t="shared" si="3"/>
        <v xml:space="preserve"> </v>
      </c>
    </row>
    <row r="22" spans="1:12" ht="15.75" customHeight="1" x14ac:dyDescent="0.3">
      <c r="A22" s="30">
        <v>13</v>
      </c>
      <c r="B22" s="41">
        <f>'CQT ATUAL'!B22</f>
        <v>0</v>
      </c>
      <c r="C22" s="41">
        <f>'CQT ATUAL'!C22</f>
        <v>0</v>
      </c>
      <c r="D22" s="31">
        <f>'ATUAL+NC'!K15</f>
        <v>0</v>
      </c>
      <c r="E22" s="31">
        <f>'ATUAL+NC'!R15</f>
        <v>0</v>
      </c>
      <c r="F22" s="31">
        <f t="shared" si="4"/>
        <v>0</v>
      </c>
      <c r="G22" s="31">
        <f t="shared" si="0"/>
        <v>0</v>
      </c>
      <c r="H22" s="31">
        <f t="shared" si="1"/>
        <v>0</v>
      </c>
      <c r="I22" s="25"/>
      <c r="J22" s="30" t="str">
        <f>IFERROR(VLOOKUP(I22,'BASE DE DADOS'!$A$4:$B$83,2,0)," ")</f>
        <v xml:space="preserve"> </v>
      </c>
      <c r="K22" s="31" t="str">
        <f t="shared" si="2"/>
        <v xml:space="preserve"> </v>
      </c>
      <c r="L22" s="38" t="str">
        <f t="shared" si="3"/>
        <v xml:space="preserve"> </v>
      </c>
    </row>
    <row r="23" spans="1:12" ht="15.75" customHeight="1" x14ac:dyDescent="0.3">
      <c r="A23" s="30">
        <v>14</v>
      </c>
      <c r="B23" s="41">
        <f>'CQT ATUAL'!B23</f>
        <v>0</v>
      </c>
      <c r="C23" s="41">
        <f>'CQT ATUAL'!C23</f>
        <v>0</v>
      </c>
      <c r="D23" s="31">
        <f>'ATUAL+NC'!K16</f>
        <v>0</v>
      </c>
      <c r="E23" s="31">
        <f>'ATUAL+NC'!R16</f>
        <v>0</v>
      </c>
      <c r="F23" s="31">
        <f t="shared" si="4"/>
        <v>0</v>
      </c>
      <c r="G23" s="31">
        <f t="shared" si="0"/>
        <v>0</v>
      </c>
      <c r="H23" s="31">
        <f t="shared" si="1"/>
        <v>0</v>
      </c>
      <c r="I23" s="25"/>
      <c r="J23" s="30" t="str">
        <f>IFERROR(VLOOKUP(I23,'BASE DE DADOS'!$A$4:$B$83,2,0)," ")</f>
        <v xml:space="preserve"> </v>
      </c>
      <c r="K23" s="31" t="str">
        <f t="shared" si="2"/>
        <v xml:space="preserve"> </v>
      </c>
      <c r="L23" s="38" t="str">
        <f t="shared" si="3"/>
        <v xml:space="preserve"> </v>
      </c>
    </row>
    <row r="24" spans="1:12" ht="15.75" customHeight="1" x14ac:dyDescent="0.3">
      <c r="A24" s="30">
        <v>15</v>
      </c>
      <c r="B24" s="41">
        <f>'CQT ATUAL'!B24</f>
        <v>0</v>
      </c>
      <c r="C24" s="41">
        <f>'CQT ATUAL'!C24</f>
        <v>0</v>
      </c>
      <c r="D24" s="31">
        <f>'ATUAL+NC'!K17</f>
        <v>0</v>
      </c>
      <c r="E24" s="31">
        <f>'ATUAL+NC'!R17</f>
        <v>0</v>
      </c>
      <c r="F24" s="31">
        <f t="shared" si="4"/>
        <v>0</v>
      </c>
      <c r="G24" s="31">
        <f t="shared" si="0"/>
        <v>0</v>
      </c>
      <c r="H24" s="31">
        <f t="shared" si="1"/>
        <v>0</v>
      </c>
      <c r="I24" s="25"/>
      <c r="J24" s="30" t="str">
        <f>IFERROR(VLOOKUP(I24,'BASE DE DADOS'!$A$4:$B$83,2,0)," ")</f>
        <v xml:space="preserve"> </v>
      </c>
      <c r="K24" s="31" t="str">
        <f t="shared" si="2"/>
        <v xml:space="preserve"> </v>
      </c>
      <c r="L24" s="38" t="str">
        <f t="shared" si="3"/>
        <v xml:space="preserve"> </v>
      </c>
    </row>
    <row r="25" spans="1:12" ht="15.75" customHeight="1" x14ac:dyDescent="0.3">
      <c r="A25" s="30">
        <v>16</v>
      </c>
      <c r="B25" s="41">
        <f>'CQT ATUAL'!B25</f>
        <v>0</v>
      </c>
      <c r="C25" s="41">
        <f>'CQT ATUAL'!C25</f>
        <v>0</v>
      </c>
      <c r="D25" s="31">
        <f>'ATUAL+NC'!K18</f>
        <v>0</v>
      </c>
      <c r="E25" s="31">
        <f>'ATUAL+NC'!R18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25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8" t="str">
        <f t="shared" si="3"/>
        <v xml:space="preserve"> </v>
      </c>
    </row>
    <row r="26" spans="1:12" ht="15.75" customHeight="1" x14ac:dyDescent="0.3">
      <c r="A26" s="30">
        <v>17</v>
      </c>
      <c r="B26" s="41">
        <f>'CQT ATUAL'!B26</f>
        <v>0</v>
      </c>
      <c r="C26" s="41">
        <f>'CQT ATUAL'!C26</f>
        <v>0</v>
      </c>
      <c r="D26" s="31">
        <f>'ATUAL+NC'!K19</f>
        <v>0</v>
      </c>
      <c r="E26" s="31">
        <f>'ATUAL+NC'!R19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25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8" t="str">
        <f t="shared" si="3"/>
        <v xml:space="preserve"> </v>
      </c>
    </row>
    <row r="27" spans="1:12" ht="15.75" customHeight="1" x14ac:dyDescent="0.3">
      <c r="A27" s="30">
        <v>18</v>
      </c>
      <c r="B27" s="41">
        <f>'CQT ATUAL'!B27</f>
        <v>0</v>
      </c>
      <c r="C27" s="41">
        <f>'CQT ATUAL'!C27</f>
        <v>0</v>
      </c>
      <c r="D27" s="31">
        <f>'ATUAL+NC'!K20</f>
        <v>0</v>
      </c>
      <c r="E27" s="31">
        <f>'ATUAL+NC'!R20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25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8" t="str">
        <f t="shared" si="3"/>
        <v xml:space="preserve"> </v>
      </c>
    </row>
    <row r="28" spans="1:12" ht="15.75" customHeight="1" x14ac:dyDescent="0.3">
      <c r="A28" s="30">
        <v>19</v>
      </c>
      <c r="B28" s="41">
        <f>'CQT ATUAL'!B28</f>
        <v>0</v>
      </c>
      <c r="C28" s="41">
        <f>'CQT ATUAL'!C28</f>
        <v>0</v>
      </c>
      <c r="D28" s="31">
        <f>'ATUAL+NC'!K21</f>
        <v>0</v>
      </c>
      <c r="E28" s="31">
        <f>'ATUAL+NC'!R21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25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8" t="str">
        <f t="shared" si="3"/>
        <v xml:space="preserve"> </v>
      </c>
    </row>
    <row r="29" spans="1:12" ht="15.75" customHeight="1" x14ac:dyDescent="0.3">
      <c r="A29" s="30">
        <v>20</v>
      </c>
      <c r="B29" s="41">
        <f>'CQT ATUAL'!B29</f>
        <v>0</v>
      </c>
      <c r="C29" s="41">
        <f>'CQT ATUAL'!C29</f>
        <v>0</v>
      </c>
      <c r="D29" s="31">
        <f>'ATUAL+NC'!K22</f>
        <v>0</v>
      </c>
      <c r="E29" s="31">
        <f>'ATUAL+NC'!R22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25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8" t="str">
        <f t="shared" si="3"/>
        <v xml:space="preserve"> </v>
      </c>
    </row>
    <row r="30" spans="1:12" ht="15.75" customHeight="1" x14ac:dyDescent="0.3">
      <c r="A30" s="30">
        <v>21</v>
      </c>
      <c r="B30" s="41">
        <f>'CQT ATUAL'!B30</f>
        <v>0</v>
      </c>
      <c r="C30" s="41">
        <f>'CQT ATUAL'!C30</f>
        <v>0</v>
      </c>
      <c r="D30" s="31">
        <f>'ATUAL+NC'!K23</f>
        <v>0</v>
      </c>
      <c r="E30" s="31">
        <f>'ATUAL+NC'!R23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25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8" t="str">
        <f t="shared" si="3"/>
        <v xml:space="preserve"> </v>
      </c>
    </row>
    <row r="31" spans="1:12" ht="15.75" customHeight="1" x14ac:dyDescent="0.3">
      <c r="A31" s="30">
        <v>22</v>
      </c>
      <c r="B31" s="41">
        <f>'CQT ATUAL'!B31</f>
        <v>0</v>
      </c>
      <c r="C31" s="41">
        <f>'CQT ATUAL'!C31</f>
        <v>0</v>
      </c>
      <c r="D31" s="31">
        <f>'ATUAL+NC'!K24</f>
        <v>0</v>
      </c>
      <c r="E31" s="31">
        <f>'ATUAL+NC'!R24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25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8" t="str">
        <f t="shared" si="3"/>
        <v xml:space="preserve"> </v>
      </c>
    </row>
    <row r="32" spans="1:12" ht="15.75" customHeight="1" x14ac:dyDescent="0.3">
      <c r="A32" s="30">
        <v>23</v>
      </c>
      <c r="B32" s="41">
        <f>'CQT ATUAL'!B32</f>
        <v>0</v>
      </c>
      <c r="C32" s="41">
        <f>'CQT ATUAL'!C32</f>
        <v>0</v>
      </c>
      <c r="D32" s="31">
        <f>'ATUAL+NC'!K25</f>
        <v>0</v>
      </c>
      <c r="E32" s="31">
        <f>'ATUAL+NC'!R25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25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8" t="str">
        <f t="shared" si="3"/>
        <v xml:space="preserve"> </v>
      </c>
    </row>
    <row r="33" spans="1:12" ht="15.75" customHeight="1" x14ac:dyDescent="0.3">
      <c r="A33" s="30">
        <v>24</v>
      </c>
      <c r="B33" s="41">
        <f>'CQT ATUAL'!B33</f>
        <v>0</v>
      </c>
      <c r="C33" s="41">
        <f>'CQT ATUAL'!C33</f>
        <v>0</v>
      </c>
      <c r="D33" s="31">
        <f>'ATUAL+NC'!K26</f>
        <v>0</v>
      </c>
      <c r="E33" s="31">
        <f>'ATUAL+NC'!R26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25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8" t="str">
        <f t="shared" si="3"/>
        <v xml:space="preserve"> </v>
      </c>
    </row>
    <row r="34" spans="1:12" ht="15.75" customHeight="1" x14ac:dyDescent="0.3">
      <c r="A34" s="30">
        <v>25</v>
      </c>
      <c r="B34" s="41">
        <f>'CQT ATUAL'!B34</f>
        <v>0</v>
      </c>
      <c r="C34" s="41">
        <f>'CQT ATUAL'!C34</f>
        <v>0</v>
      </c>
      <c r="D34" s="31">
        <f>'ATUAL+NC'!K27</f>
        <v>0</v>
      </c>
      <c r="E34" s="31">
        <f>'ATUAL+NC'!R27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25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8" t="str">
        <f t="shared" si="3"/>
        <v xml:space="preserve"> </v>
      </c>
    </row>
    <row r="35" spans="1:12" ht="15.75" customHeight="1" x14ac:dyDescent="0.3">
      <c r="A35" s="30">
        <v>26</v>
      </c>
      <c r="B35" s="41">
        <f>'CQT ATUAL'!B35</f>
        <v>0</v>
      </c>
      <c r="C35" s="41">
        <f>'CQT ATUAL'!C35</f>
        <v>0</v>
      </c>
      <c r="D35" s="31">
        <f>'ATUAL+NC'!K28</f>
        <v>0</v>
      </c>
      <c r="E35" s="31">
        <f>'ATUAL+NC'!R28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25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8" t="str">
        <f t="shared" si="3"/>
        <v xml:space="preserve"> </v>
      </c>
    </row>
    <row r="36" spans="1:12" ht="15.75" customHeight="1" x14ac:dyDescent="0.3">
      <c r="A36" s="30">
        <v>27</v>
      </c>
      <c r="B36" s="41">
        <f>'CQT ATUAL'!B36</f>
        <v>0</v>
      </c>
      <c r="C36" s="41">
        <f>'CQT ATUAL'!C36</f>
        <v>0</v>
      </c>
      <c r="D36" s="31">
        <f>'ATUAL+NC'!K29</f>
        <v>0</v>
      </c>
      <c r="E36" s="31">
        <f>'ATUAL+NC'!R29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25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8" t="str">
        <f t="shared" si="3"/>
        <v xml:space="preserve"> </v>
      </c>
    </row>
    <row r="37" spans="1:12" ht="15.75" customHeight="1" x14ac:dyDescent="0.3">
      <c r="A37" s="30">
        <v>28</v>
      </c>
      <c r="B37" s="41">
        <f>'CQT ATUAL'!B37</f>
        <v>0</v>
      </c>
      <c r="C37" s="41">
        <f>'CQT ATUAL'!C37</f>
        <v>0</v>
      </c>
      <c r="D37" s="31">
        <f>'ATUAL+NC'!K30</f>
        <v>0</v>
      </c>
      <c r="E37" s="31">
        <f>'ATUAL+NC'!R30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25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8" t="str">
        <f t="shared" si="3"/>
        <v xml:space="preserve"> </v>
      </c>
    </row>
    <row r="38" spans="1:12" ht="15.75" customHeight="1" x14ac:dyDescent="0.3">
      <c r="A38" s="30">
        <v>29</v>
      </c>
      <c r="B38" s="41">
        <f>'CQT ATUAL'!B38</f>
        <v>0</v>
      </c>
      <c r="C38" s="41">
        <f>'CQT ATUAL'!C38</f>
        <v>0</v>
      </c>
      <c r="D38" s="31">
        <f>'ATUAL+NC'!K31</f>
        <v>0</v>
      </c>
      <c r="E38" s="31">
        <f>'ATUAL+NC'!R31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25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8" t="str">
        <f t="shared" si="3"/>
        <v xml:space="preserve"> </v>
      </c>
    </row>
    <row r="39" spans="1:12" ht="15.75" customHeight="1" x14ac:dyDescent="0.3">
      <c r="A39" s="30">
        <v>30</v>
      </c>
      <c r="B39" s="41">
        <f>'CQT ATUAL'!B39</f>
        <v>0</v>
      </c>
      <c r="C39" s="41">
        <f>'CQT ATUAL'!C39</f>
        <v>0</v>
      </c>
      <c r="D39" s="31">
        <f>'ATUAL+NC'!K32</f>
        <v>0</v>
      </c>
      <c r="E39" s="31">
        <f>'ATUAL+NC'!R32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25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8" t="str">
        <f t="shared" si="3"/>
        <v xml:space="preserve"> </v>
      </c>
    </row>
    <row r="40" spans="1:12" ht="15.75" customHeight="1" x14ac:dyDescent="0.3">
      <c r="A40" s="30">
        <v>31</v>
      </c>
      <c r="B40" s="41">
        <f>'CQT ATUAL'!B40</f>
        <v>0</v>
      </c>
      <c r="C40" s="41">
        <f>'CQT ATUAL'!C40</f>
        <v>0</v>
      </c>
      <c r="D40" s="31">
        <f>'ATUAL+NC'!K33</f>
        <v>0</v>
      </c>
      <c r="E40" s="31">
        <f>'ATUAL+NC'!R33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25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8" t="str">
        <f t="shared" si="3"/>
        <v xml:space="preserve"> </v>
      </c>
    </row>
    <row r="41" spans="1:12" ht="15.75" customHeight="1" x14ac:dyDescent="0.3">
      <c r="A41" s="30">
        <v>32</v>
      </c>
      <c r="B41" s="41">
        <f>'CQT ATUAL'!B41</f>
        <v>0</v>
      </c>
      <c r="C41" s="41">
        <f>'CQT ATUAL'!C41</f>
        <v>0</v>
      </c>
      <c r="D41" s="31">
        <f>'ATUAL+NC'!K34</f>
        <v>0</v>
      </c>
      <c r="E41" s="31">
        <f>'ATUAL+NC'!R34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25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8" t="str">
        <f t="shared" si="3"/>
        <v xml:space="preserve"> </v>
      </c>
    </row>
    <row r="42" spans="1:12" ht="15.75" customHeight="1" x14ac:dyDescent="0.3">
      <c r="A42" s="30">
        <v>33</v>
      </c>
      <c r="B42" s="41">
        <f>'CQT ATUAL'!B42</f>
        <v>0</v>
      </c>
      <c r="C42" s="41">
        <f>'CQT ATUAL'!C42</f>
        <v>0</v>
      </c>
      <c r="D42" s="31">
        <f>'ATUAL+NC'!K35</f>
        <v>0</v>
      </c>
      <c r="E42" s="31">
        <f>'ATUAL+NC'!R35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25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8" t="str">
        <f t="shared" si="3"/>
        <v xml:space="preserve"> </v>
      </c>
    </row>
    <row r="43" spans="1:12" ht="15.75" customHeight="1" x14ac:dyDescent="0.3">
      <c r="A43" s="30">
        <v>34</v>
      </c>
      <c r="B43" s="41">
        <f>'CQT ATUAL'!B43</f>
        <v>0</v>
      </c>
      <c r="C43" s="41">
        <f>'CQT ATUAL'!C43</f>
        <v>0</v>
      </c>
      <c r="D43" s="31">
        <f>'ATUAL+NC'!K36</f>
        <v>0</v>
      </c>
      <c r="E43" s="31">
        <f>'ATUAL+NC'!R36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25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8" t="str">
        <f t="shared" si="3"/>
        <v xml:space="preserve"> </v>
      </c>
    </row>
    <row r="44" spans="1:12" ht="15.75" customHeight="1" x14ac:dyDescent="0.3">
      <c r="A44" s="30">
        <v>35</v>
      </c>
      <c r="B44" s="41">
        <f>'CQT ATUAL'!B44</f>
        <v>0</v>
      </c>
      <c r="C44" s="41">
        <f>'CQT ATUAL'!C44</f>
        <v>0</v>
      </c>
      <c r="D44" s="31">
        <f>'ATUAL+NC'!K37</f>
        <v>0</v>
      </c>
      <c r="E44" s="31">
        <f>'ATUAL+NC'!R37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25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8" t="str">
        <f t="shared" si="3"/>
        <v xml:space="preserve"> </v>
      </c>
    </row>
    <row r="45" spans="1:12" ht="15.75" customHeight="1" x14ac:dyDescent="0.3">
      <c r="A45" s="30">
        <v>36</v>
      </c>
      <c r="B45" s="41">
        <f>'CQT ATUAL'!B45</f>
        <v>0</v>
      </c>
      <c r="C45" s="41">
        <f>'CQT ATUAL'!C45</f>
        <v>0</v>
      </c>
      <c r="D45" s="31">
        <f>'ATUAL+NC'!K38</f>
        <v>0</v>
      </c>
      <c r="E45" s="31">
        <f>'ATUAL+NC'!R38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25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8" t="str">
        <f t="shared" si="3"/>
        <v xml:space="preserve"> </v>
      </c>
    </row>
    <row r="46" spans="1:12" ht="15.75" customHeight="1" x14ac:dyDescent="0.3">
      <c r="A46" s="30">
        <v>37</v>
      </c>
      <c r="B46" s="41">
        <f>'CQT ATUAL'!B46</f>
        <v>0</v>
      </c>
      <c r="C46" s="41">
        <f>'CQT ATUAL'!C46</f>
        <v>0</v>
      </c>
      <c r="D46" s="31">
        <f>'ATUAL+NC'!K39</f>
        <v>0</v>
      </c>
      <c r="E46" s="31">
        <f>'ATUAL+NC'!R39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25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8" t="str">
        <f t="shared" si="3"/>
        <v xml:space="preserve"> </v>
      </c>
    </row>
    <row r="47" spans="1:12" ht="15.75" customHeight="1" x14ac:dyDescent="0.3">
      <c r="A47" s="30">
        <v>38</v>
      </c>
      <c r="B47" s="41">
        <f>'CQT ATUAL'!B47</f>
        <v>0</v>
      </c>
      <c r="C47" s="41">
        <f>'CQT ATUAL'!C47</f>
        <v>0</v>
      </c>
      <c r="D47" s="31">
        <f>'ATUAL+NC'!K40</f>
        <v>0</v>
      </c>
      <c r="E47" s="31">
        <f>'ATUAL+NC'!R40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25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8" t="str">
        <f t="shared" si="3"/>
        <v xml:space="preserve"> </v>
      </c>
    </row>
    <row r="48" spans="1:12" ht="15.75" customHeight="1" x14ac:dyDescent="0.3">
      <c r="A48" s="30">
        <v>39</v>
      </c>
      <c r="B48" s="41">
        <f>'CQT ATUAL'!B48</f>
        <v>0</v>
      </c>
      <c r="C48" s="41">
        <f>'CQT ATUAL'!C48</f>
        <v>0</v>
      </c>
      <c r="D48" s="31">
        <f>'ATUAL+NC'!K41</f>
        <v>0</v>
      </c>
      <c r="E48" s="31">
        <f>'ATUAL+NC'!R41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25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8" t="str">
        <f t="shared" si="3"/>
        <v xml:space="preserve"> </v>
      </c>
    </row>
    <row r="49" spans="1:12" ht="15.75" customHeight="1" x14ac:dyDescent="0.3">
      <c r="A49" s="30">
        <v>40</v>
      </c>
      <c r="B49" s="41">
        <f>'CQT ATUAL'!B49</f>
        <v>0</v>
      </c>
      <c r="C49" s="41">
        <f>'CQT ATUAL'!C49</f>
        <v>0</v>
      </c>
      <c r="D49" s="31">
        <f>'ATUAL+NC'!K42</f>
        <v>0</v>
      </c>
      <c r="E49" s="31">
        <f>'ATUAL+NC'!R42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25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8" t="str">
        <f t="shared" si="3"/>
        <v xml:space="preserve"> </v>
      </c>
    </row>
    <row r="50" spans="1:12" ht="15.75" customHeight="1" x14ac:dyDescent="0.3">
      <c r="A50" s="30">
        <v>41</v>
      </c>
      <c r="B50" s="41">
        <f>'CQT ATUAL'!B50</f>
        <v>0</v>
      </c>
      <c r="C50" s="41">
        <f>'CQT ATUAL'!C50</f>
        <v>0</v>
      </c>
      <c r="D50" s="31">
        <f>'ATUAL+NC'!K43</f>
        <v>0</v>
      </c>
      <c r="E50" s="31">
        <f>'ATUAL+NC'!R43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25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8" t="str">
        <f t="shared" si="3"/>
        <v xml:space="preserve"> </v>
      </c>
    </row>
    <row r="51" spans="1:12" ht="15.75" customHeight="1" x14ac:dyDescent="0.3">
      <c r="A51" s="30">
        <v>42</v>
      </c>
      <c r="B51" s="41">
        <f>'CQT ATUAL'!B51</f>
        <v>0</v>
      </c>
      <c r="C51" s="41">
        <f>'CQT ATUAL'!C51</f>
        <v>0</v>
      </c>
      <c r="D51" s="31">
        <f>'ATUAL+NC'!K44</f>
        <v>0</v>
      </c>
      <c r="E51" s="31">
        <f>'ATUAL+NC'!R44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25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8" t="str">
        <f t="shared" si="3"/>
        <v xml:space="preserve"> </v>
      </c>
    </row>
    <row r="52" spans="1:12" ht="15.75" customHeight="1" x14ac:dyDescent="0.3">
      <c r="A52" s="30">
        <v>43</v>
      </c>
      <c r="B52" s="41">
        <f>'CQT ATUAL'!B52</f>
        <v>0</v>
      </c>
      <c r="C52" s="41">
        <f>'CQT ATUAL'!C52</f>
        <v>0</v>
      </c>
      <c r="D52" s="31">
        <f>'ATUAL+NC'!K45</f>
        <v>0</v>
      </c>
      <c r="E52" s="31">
        <f>'ATUAL+NC'!R45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25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8" t="str">
        <f t="shared" si="3"/>
        <v xml:space="preserve"> </v>
      </c>
    </row>
    <row r="53" spans="1:12" ht="15.75" customHeight="1" x14ac:dyDescent="0.3">
      <c r="A53" s="30">
        <v>44</v>
      </c>
      <c r="B53" s="41">
        <f>'CQT ATUAL'!B53</f>
        <v>0</v>
      </c>
      <c r="C53" s="41">
        <f>'CQT ATUAL'!C53</f>
        <v>0</v>
      </c>
      <c r="D53" s="31">
        <f>'ATUAL+NC'!K46</f>
        <v>0</v>
      </c>
      <c r="E53" s="31">
        <f>'ATUAL+NC'!R46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25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8" t="str">
        <f t="shared" si="3"/>
        <v xml:space="preserve"> </v>
      </c>
    </row>
    <row r="54" spans="1:12" ht="15.75" customHeight="1" x14ac:dyDescent="0.3">
      <c r="A54" s="30">
        <v>45</v>
      </c>
      <c r="B54" s="41">
        <f>'CQT ATUAL'!B54</f>
        <v>0</v>
      </c>
      <c r="C54" s="41">
        <f>'CQT ATUAL'!C54</f>
        <v>0</v>
      </c>
      <c r="D54" s="31">
        <f>'ATUAL+NC'!K47</f>
        <v>0</v>
      </c>
      <c r="E54" s="31">
        <f>'ATUAL+NC'!R47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25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8" t="str">
        <f t="shared" si="3"/>
        <v xml:space="preserve"> </v>
      </c>
    </row>
    <row r="55" spans="1:12" ht="15.75" customHeight="1" x14ac:dyDescent="0.3">
      <c r="A55" s="30">
        <v>46</v>
      </c>
      <c r="B55" s="41">
        <f>'CQT ATUAL'!B55</f>
        <v>0</v>
      </c>
      <c r="C55" s="41">
        <f>'CQT ATUAL'!C55</f>
        <v>0</v>
      </c>
      <c r="D55" s="31">
        <f>'ATUAL+NC'!K48</f>
        <v>0</v>
      </c>
      <c r="E55" s="31">
        <f>'ATUAL+NC'!R48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25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8" t="str">
        <f t="shared" si="3"/>
        <v xml:space="preserve"> </v>
      </c>
    </row>
    <row r="56" spans="1:12" ht="15.75" customHeight="1" x14ac:dyDescent="0.3">
      <c r="A56" s="30">
        <v>47</v>
      </c>
      <c r="B56" s="41">
        <f>'CQT ATUAL'!B56</f>
        <v>0</v>
      </c>
      <c r="C56" s="41">
        <f>'CQT ATUAL'!C56</f>
        <v>0</v>
      </c>
      <c r="D56" s="31">
        <f>'ATUAL+NC'!K49</f>
        <v>0</v>
      </c>
      <c r="E56" s="31">
        <f>'ATUAL+NC'!R49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25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8" t="str">
        <f t="shared" si="3"/>
        <v xml:space="preserve"> </v>
      </c>
    </row>
    <row r="57" spans="1:12" ht="15.75" customHeight="1" x14ac:dyDescent="0.3">
      <c r="A57" s="30">
        <v>48</v>
      </c>
      <c r="B57" s="41">
        <f>'CQT ATUAL'!B57</f>
        <v>0</v>
      </c>
      <c r="C57" s="41">
        <f>'CQT ATUAL'!C57</f>
        <v>0</v>
      </c>
      <c r="D57" s="31">
        <f>'ATUAL+NC'!K50</f>
        <v>0</v>
      </c>
      <c r="E57" s="31">
        <f>'ATUAL+NC'!R50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8" t="str">
        <f t="shared" si="3"/>
        <v xml:space="preserve"> </v>
      </c>
    </row>
    <row r="58" spans="1:12" ht="15.75" customHeight="1" x14ac:dyDescent="0.3">
      <c r="A58" s="30">
        <v>49</v>
      </c>
      <c r="B58" s="41">
        <f>'CQT ATUAL'!B58</f>
        <v>0</v>
      </c>
      <c r="C58" s="41">
        <f>'CQT ATUAL'!C58</f>
        <v>0</v>
      </c>
      <c r="D58" s="31">
        <f>'ATUAL+NC'!K51</f>
        <v>0</v>
      </c>
      <c r="E58" s="31">
        <f>'ATUAL+NC'!R51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8" t="str">
        <f t="shared" si="3"/>
        <v xml:space="preserve"> </v>
      </c>
    </row>
    <row r="59" spans="1:12" ht="15.75" customHeight="1" x14ac:dyDescent="0.3">
      <c r="A59" s="30">
        <v>50</v>
      </c>
      <c r="B59" s="41">
        <f>'CQT ATUAL'!B59</f>
        <v>0</v>
      </c>
      <c r="C59" s="41">
        <f>'CQT ATUAL'!C59</f>
        <v>0</v>
      </c>
      <c r="D59" s="31">
        <f>'ATUAL+NC'!K52</f>
        <v>0</v>
      </c>
      <c r="E59" s="31">
        <f>'ATUAL+NC'!R52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8" t="str">
        <f t="shared" si="3"/>
        <v xml:space="preserve"> </v>
      </c>
    </row>
    <row r="60" spans="1:12" ht="15.75" customHeight="1" x14ac:dyDescent="0.3">
      <c r="A60" s="30">
        <v>51</v>
      </c>
      <c r="B60" s="41">
        <f>'CQT ATUAL'!B60</f>
        <v>0</v>
      </c>
      <c r="C60" s="41">
        <f>'CQT ATUAL'!C60</f>
        <v>0</v>
      </c>
      <c r="D60" s="31">
        <f>'ATUAL+NC'!K53</f>
        <v>0</v>
      </c>
      <c r="E60" s="31">
        <f>'ATUAL+NC'!R53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8" t="str">
        <f t="shared" si="3"/>
        <v xml:space="preserve"> </v>
      </c>
    </row>
    <row r="61" spans="1:12" ht="15.75" customHeight="1" x14ac:dyDescent="0.3">
      <c r="A61" s="30">
        <v>52</v>
      </c>
      <c r="B61" s="41">
        <f>'CQT ATUAL'!B61</f>
        <v>0</v>
      </c>
      <c r="C61" s="41">
        <f>'CQT ATUAL'!C61</f>
        <v>0</v>
      </c>
      <c r="D61" s="31">
        <f>'ATUAL+NC'!K54</f>
        <v>0</v>
      </c>
      <c r="E61" s="31">
        <f>'ATUAL+NC'!R54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8" t="str">
        <f t="shared" si="3"/>
        <v xml:space="preserve"> </v>
      </c>
    </row>
    <row r="62" spans="1:12" ht="15.75" customHeight="1" x14ac:dyDescent="0.3">
      <c r="A62" s="30">
        <v>53</v>
      </c>
      <c r="B62" s="41">
        <f>'CQT ATUAL'!B62</f>
        <v>0</v>
      </c>
      <c r="C62" s="41">
        <f>'CQT ATUAL'!C62</f>
        <v>0</v>
      </c>
      <c r="D62" s="31">
        <f>'ATUAL+NC'!K55</f>
        <v>0</v>
      </c>
      <c r="E62" s="31">
        <f>'ATUAL+NC'!R55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8" t="str">
        <f t="shared" si="3"/>
        <v xml:space="preserve"> </v>
      </c>
    </row>
    <row r="63" spans="1:12" ht="15.75" customHeight="1" x14ac:dyDescent="0.3">
      <c r="A63" s="30">
        <v>54</v>
      </c>
      <c r="B63" s="41">
        <f>'CQT ATUAL'!B63</f>
        <v>0</v>
      </c>
      <c r="C63" s="41">
        <f>'CQT ATUAL'!C63</f>
        <v>0</v>
      </c>
      <c r="D63" s="31">
        <f>'ATUAL+NC'!K56</f>
        <v>0</v>
      </c>
      <c r="E63" s="31">
        <f>'ATUAL+NC'!R56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8" t="str">
        <f t="shared" si="3"/>
        <v xml:space="preserve"> </v>
      </c>
    </row>
    <row r="64" spans="1:12" ht="15.75" customHeight="1" x14ac:dyDescent="0.3">
      <c r="A64" s="30">
        <v>55</v>
      </c>
      <c r="B64" s="41">
        <f>'CQT ATUAL'!B64</f>
        <v>0</v>
      </c>
      <c r="C64" s="41">
        <f>'CQT ATUAL'!C64</f>
        <v>0</v>
      </c>
      <c r="D64" s="31">
        <f>'ATUAL+NC'!K57</f>
        <v>0</v>
      </c>
      <c r="E64" s="31">
        <f>'ATUAL+NC'!R57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8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G1:G2"/>
    <mergeCell ref="D3:E3"/>
    <mergeCell ref="D4:E4"/>
    <mergeCell ref="D5:E5"/>
    <mergeCell ref="D7:H7"/>
    <mergeCell ref="I7:I8"/>
    <mergeCell ref="J7:L7"/>
    <mergeCell ref="A7:C7"/>
    <mergeCell ref="B8:B9"/>
    <mergeCell ref="D8:F8"/>
    <mergeCell ref="D9:F9"/>
  </mergeCells>
  <conditionalFormatting sqref="B11:C64">
    <cfRule type="cellIs" dxfId="13" priority="1" operator="equal">
      <formula>0</formula>
    </cfRule>
  </conditionalFormatting>
  <conditionalFormatting sqref="G3">
    <cfRule type="cellIs" dxfId="12" priority="2" operator="greaterThan">
      <formula>1</formula>
    </cfRule>
    <cfRule type="cellIs" dxfId="11" priority="3" operator="lessThan">
      <formula>1</formula>
    </cfRule>
  </conditionalFormatting>
  <conditionalFormatting sqref="K11:L64">
    <cfRule type="cellIs" dxfId="10" priority="4" operator="greaterThan">
      <formula>6</formula>
    </cfRule>
  </conditionalFormatting>
  <conditionalFormatting sqref="L11:L49">
    <cfRule type="cellIs" dxfId="9" priority="5" operator="greaterThan">
      <formula>6</formula>
    </cfRule>
  </conditionalFormatting>
  <pageMargins left="0.25" right="0.25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4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W1000"/>
  <sheetViews>
    <sheetView showGridLines="0" workbookViewId="0">
      <selection activeCell="P3" sqref="P3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81" t="s">
        <v>7</v>
      </c>
      <c r="K1" s="77" t="s">
        <v>8</v>
      </c>
      <c r="L1" s="77" t="s">
        <v>9</v>
      </c>
      <c r="M1" s="77" t="s">
        <v>10</v>
      </c>
      <c r="N1" s="77" t="s">
        <v>11</v>
      </c>
      <c r="O1" s="79" t="s">
        <v>12</v>
      </c>
      <c r="P1" s="80"/>
      <c r="R1" s="81" t="s">
        <v>8</v>
      </c>
      <c r="S1" s="77" t="s">
        <v>13</v>
      </c>
      <c r="T1" s="77" t="s">
        <v>14</v>
      </c>
      <c r="U1" s="77" t="s">
        <v>15</v>
      </c>
      <c r="V1" s="77" t="s">
        <v>16</v>
      </c>
      <c r="W1" s="91" t="s">
        <v>17</v>
      </c>
    </row>
    <row r="2" spans="1:23" ht="14.4" x14ac:dyDescent="0.3">
      <c r="A2" s="87" t="s">
        <v>18</v>
      </c>
      <c r="B2" s="88"/>
      <c r="C2" s="88"/>
      <c r="D2" s="86"/>
      <c r="F2" s="3" t="s">
        <v>19</v>
      </c>
      <c r="G2" s="4" t="s">
        <v>20</v>
      </c>
      <c r="H2" s="5" t="s">
        <v>2</v>
      </c>
      <c r="J2" s="82"/>
      <c r="K2" s="78"/>
      <c r="L2" s="78"/>
      <c r="M2" s="78"/>
      <c r="N2" s="78"/>
      <c r="O2" s="6" t="s">
        <v>20</v>
      </c>
      <c r="P2" s="7" t="s">
        <v>21</v>
      </c>
      <c r="R2" s="82"/>
      <c r="S2" s="78"/>
      <c r="T2" s="78"/>
      <c r="U2" s="78"/>
      <c r="V2" s="78"/>
      <c r="W2" s="92"/>
    </row>
    <row r="3" spans="1:23" ht="14.4" x14ac:dyDescent="0.3">
      <c r="A3" s="83" t="s">
        <v>22</v>
      </c>
      <c r="B3" s="84"/>
      <c r="C3" s="89" t="s">
        <v>4</v>
      </c>
      <c r="D3" s="86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0</v>
      </c>
      <c r="L3" s="73">
        <f>ATUAL!L3</f>
        <v>0</v>
      </c>
      <c r="M3" s="73">
        <f>ATUAL!M3</f>
        <v>0</v>
      </c>
      <c r="N3" s="73">
        <f>ATUAL!N3</f>
        <v>0</v>
      </c>
      <c r="O3" s="73"/>
      <c r="P3" s="73"/>
      <c r="R3" s="13">
        <f t="shared" ref="R3:R57" si="1">S3*$H$3+T3*$H$4+U3*$H$5+V3*$H$6+W3*$H$7</f>
        <v>0</v>
      </c>
      <c r="S3" s="73"/>
      <c r="T3" s="73"/>
      <c r="U3" s="73"/>
      <c r="V3" s="73"/>
      <c r="W3" s="74"/>
    </row>
    <row r="4" spans="1:23" ht="14.4" x14ac:dyDescent="0.3">
      <c r="A4" s="83" t="s">
        <v>24</v>
      </c>
      <c r="B4" s="84"/>
      <c r="C4" s="90">
        <f>SUM(L3:O57)</f>
        <v>3</v>
      </c>
      <c r="D4" s="86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73">
        <f>ATUAL!L4</f>
        <v>0</v>
      </c>
      <c r="M4" s="73">
        <f>ATUAL!M4</f>
        <v>0</v>
      </c>
      <c r="N4" s="73">
        <f>ATUAL!N4</f>
        <v>0</v>
      </c>
      <c r="O4" s="73">
        <f>ATUAL!O4</f>
        <v>0</v>
      </c>
      <c r="P4" s="73">
        <f>ATUAL!P4</f>
        <v>0</v>
      </c>
      <c r="R4" s="13">
        <f t="shared" si="1"/>
        <v>0</v>
      </c>
      <c r="S4" s="73"/>
      <c r="T4" s="73"/>
      <c r="U4" s="73"/>
      <c r="V4" s="73"/>
      <c r="W4" s="74"/>
    </row>
    <row r="5" spans="1:23" ht="14.4" x14ac:dyDescent="0.3">
      <c r="A5" s="83" t="s">
        <v>25</v>
      </c>
      <c r="B5" s="84"/>
      <c r="C5" s="85">
        <f>ATUAL!C5</f>
        <v>1.6</v>
      </c>
      <c r="D5" s="86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73">
        <f>ATUAL!L5</f>
        <v>0</v>
      </c>
      <c r="M5" s="73">
        <f>ATUAL!M5</f>
        <v>0</v>
      </c>
      <c r="N5" s="73">
        <f>ATUAL!N5</f>
        <v>0</v>
      </c>
      <c r="O5" s="73">
        <f>ATUAL!O5</f>
        <v>0</v>
      </c>
      <c r="P5" s="73">
        <f>ATUAL!P5</f>
        <v>0</v>
      </c>
      <c r="R5" s="13">
        <f t="shared" si="1"/>
        <v>0</v>
      </c>
      <c r="S5" s="73"/>
      <c r="T5" s="73"/>
      <c r="U5" s="73"/>
      <c r="V5" s="73"/>
      <c r="W5" s="74"/>
    </row>
    <row r="6" spans="1:23" ht="14.4" x14ac:dyDescent="0.3"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73">
        <f>ATUAL!L6</f>
        <v>0</v>
      </c>
      <c r="M6" s="73">
        <f>ATUAL!M6</f>
        <v>0</v>
      </c>
      <c r="N6" s="73">
        <f>ATUAL!N6</f>
        <v>0</v>
      </c>
      <c r="O6" s="73">
        <f>ATUAL!O6</f>
        <v>0</v>
      </c>
      <c r="P6" s="73">
        <f>ATUAL!P6</f>
        <v>0</v>
      </c>
      <c r="R6" s="13">
        <f t="shared" si="1"/>
        <v>0</v>
      </c>
      <c r="S6" s="73"/>
      <c r="T6" s="73"/>
      <c r="U6" s="73"/>
      <c r="V6" s="73"/>
      <c r="W6" s="74"/>
    </row>
    <row r="7" spans="1:23" ht="14.4" x14ac:dyDescent="0.3"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49</v>
      </c>
      <c r="L7" s="73">
        <f>ATUAL!L7</f>
        <v>0</v>
      </c>
      <c r="M7" s="73">
        <f>ATUAL!M7</f>
        <v>0</v>
      </c>
      <c r="N7" s="73"/>
      <c r="O7" s="73">
        <v>1</v>
      </c>
      <c r="P7" s="73">
        <v>49</v>
      </c>
      <c r="R7" s="13">
        <f t="shared" si="1"/>
        <v>0</v>
      </c>
      <c r="S7" s="73"/>
      <c r="T7" s="73"/>
      <c r="U7" s="73"/>
      <c r="V7" s="73"/>
      <c r="W7" s="74"/>
    </row>
    <row r="8" spans="1:23" ht="14.4" x14ac:dyDescent="0.3">
      <c r="B8" s="1"/>
      <c r="C8" s="1"/>
      <c r="D8" s="1"/>
      <c r="J8" s="11">
        <v>6</v>
      </c>
      <c r="K8" s="12">
        <f t="shared" si="0"/>
        <v>3.2</v>
      </c>
      <c r="L8" s="73">
        <f>ATUAL!L8</f>
        <v>1</v>
      </c>
      <c r="M8" s="73">
        <f>ATUAL!M8</f>
        <v>0</v>
      </c>
      <c r="N8" s="73">
        <f>ATUAL!N8</f>
        <v>1</v>
      </c>
      <c r="O8" s="73">
        <f>ATUAL!O8</f>
        <v>0</v>
      </c>
      <c r="P8" s="73">
        <f>ATUAL!P8</f>
        <v>0</v>
      </c>
      <c r="R8" s="13">
        <f t="shared" si="1"/>
        <v>0</v>
      </c>
      <c r="S8" s="73"/>
      <c r="T8" s="73"/>
      <c r="U8" s="73"/>
      <c r="V8" s="73"/>
      <c r="W8" s="74"/>
    </row>
    <row r="9" spans="1:23" ht="14.4" x14ac:dyDescent="0.3">
      <c r="J9" s="11">
        <v>7</v>
      </c>
      <c r="K9" s="12">
        <f t="shared" si="0"/>
        <v>0</v>
      </c>
      <c r="L9" s="73">
        <f>ATUAL!L9</f>
        <v>0</v>
      </c>
      <c r="M9" s="73">
        <f>ATUAL!M9</f>
        <v>0</v>
      </c>
      <c r="N9" s="73">
        <f>ATUAL!N9</f>
        <v>0</v>
      </c>
      <c r="O9" s="73">
        <f>ATUAL!O9</f>
        <v>0</v>
      </c>
      <c r="P9" s="73">
        <f>ATUAL!P9</f>
        <v>0</v>
      </c>
      <c r="R9" s="13">
        <f t="shared" si="1"/>
        <v>0</v>
      </c>
      <c r="S9" s="73"/>
      <c r="T9" s="73"/>
      <c r="U9" s="73"/>
      <c r="V9" s="73"/>
      <c r="W9" s="74"/>
    </row>
    <row r="10" spans="1:23" ht="14.4" x14ac:dyDescent="0.3">
      <c r="J10" s="11">
        <v>8</v>
      </c>
      <c r="K10" s="12">
        <f t="shared" si="0"/>
        <v>0</v>
      </c>
      <c r="L10" s="73"/>
      <c r="M10" s="73"/>
      <c r="N10" s="73"/>
      <c r="O10" s="73"/>
      <c r="P10" s="74"/>
      <c r="R10" s="13">
        <f t="shared" si="1"/>
        <v>0</v>
      </c>
      <c r="S10" s="73"/>
      <c r="T10" s="73"/>
      <c r="U10" s="73"/>
      <c r="V10" s="73"/>
      <c r="W10" s="74"/>
    </row>
    <row r="11" spans="1:23" ht="14.4" x14ac:dyDescent="0.3">
      <c r="B11" s="1"/>
      <c r="J11" s="11">
        <v>9</v>
      </c>
      <c r="K11" s="12">
        <f t="shared" si="0"/>
        <v>0</v>
      </c>
      <c r="L11" s="73"/>
      <c r="M11" s="73"/>
      <c r="N11" s="73"/>
      <c r="O11" s="73"/>
      <c r="P11" s="74"/>
      <c r="R11" s="13">
        <f t="shared" si="1"/>
        <v>0</v>
      </c>
      <c r="S11" s="73"/>
      <c r="T11" s="73"/>
      <c r="U11" s="73"/>
      <c r="V11" s="73"/>
      <c r="W11" s="74"/>
    </row>
    <row r="12" spans="1:23" ht="14.4" x14ac:dyDescent="0.3">
      <c r="J12" s="11">
        <v>10</v>
      </c>
      <c r="K12" s="12">
        <f t="shared" si="0"/>
        <v>0</v>
      </c>
      <c r="L12" s="73"/>
      <c r="M12" s="73"/>
      <c r="N12" s="73"/>
      <c r="O12" s="73"/>
      <c r="P12" s="74"/>
      <c r="R12" s="13">
        <f t="shared" si="1"/>
        <v>0</v>
      </c>
      <c r="S12" s="73"/>
      <c r="T12" s="73"/>
      <c r="U12" s="73"/>
      <c r="V12" s="73"/>
      <c r="W12" s="74"/>
    </row>
    <row r="13" spans="1:23" ht="14.4" x14ac:dyDescent="0.3">
      <c r="J13" s="11">
        <v>11</v>
      </c>
      <c r="K13" s="12">
        <f t="shared" si="0"/>
        <v>0</v>
      </c>
      <c r="L13" s="73"/>
      <c r="M13" s="73"/>
      <c r="N13" s="73"/>
      <c r="O13" s="73"/>
      <c r="P13" s="74"/>
      <c r="R13" s="13">
        <f t="shared" si="1"/>
        <v>0</v>
      </c>
      <c r="S13" s="73"/>
      <c r="T13" s="73"/>
      <c r="U13" s="73"/>
      <c r="V13" s="73"/>
      <c r="W13" s="74"/>
    </row>
    <row r="14" spans="1:23" ht="14.4" x14ac:dyDescent="0.3">
      <c r="J14" s="11">
        <v>12</v>
      </c>
      <c r="K14" s="12">
        <f t="shared" si="0"/>
        <v>0</v>
      </c>
      <c r="L14" s="73"/>
      <c r="M14" s="73"/>
      <c r="N14" s="73"/>
      <c r="O14" s="73"/>
      <c r="P14" s="74"/>
      <c r="R14" s="13">
        <f t="shared" si="1"/>
        <v>0</v>
      </c>
      <c r="S14" s="73"/>
      <c r="T14" s="73"/>
      <c r="U14" s="73"/>
      <c r="V14" s="73"/>
      <c r="W14" s="74"/>
    </row>
    <row r="15" spans="1:23" ht="14.4" x14ac:dyDescent="0.3">
      <c r="J15" s="11">
        <v>13</v>
      </c>
      <c r="K15" s="12">
        <f t="shared" si="0"/>
        <v>0</v>
      </c>
      <c r="L15" s="73"/>
      <c r="M15" s="73"/>
      <c r="N15" s="73"/>
      <c r="O15" s="73"/>
      <c r="P15" s="74"/>
      <c r="R15" s="13">
        <f t="shared" si="1"/>
        <v>0</v>
      </c>
      <c r="S15" s="73"/>
      <c r="T15" s="73"/>
      <c r="U15" s="73"/>
      <c r="V15" s="73"/>
      <c r="W15" s="74"/>
    </row>
    <row r="16" spans="1:23" ht="14.4" x14ac:dyDescent="0.3">
      <c r="J16" s="11">
        <v>14</v>
      </c>
      <c r="K16" s="12">
        <f t="shared" si="0"/>
        <v>0</v>
      </c>
      <c r="L16" s="73"/>
      <c r="M16" s="73"/>
      <c r="N16" s="73"/>
      <c r="O16" s="73"/>
      <c r="P16" s="74"/>
      <c r="R16" s="13">
        <f t="shared" si="1"/>
        <v>0</v>
      </c>
      <c r="S16" s="73"/>
      <c r="T16" s="73"/>
      <c r="U16" s="73"/>
      <c r="V16" s="73"/>
      <c r="W16" s="74"/>
    </row>
    <row r="17" spans="10:23" ht="14.4" x14ac:dyDescent="0.3">
      <c r="J17" s="11">
        <v>15</v>
      </c>
      <c r="K17" s="12">
        <f t="shared" si="0"/>
        <v>0</v>
      </c>
      <c r="L17" s="73"/>
      <c r="M17" s="73"/>
      <c r="N17" s="73"/>
      <c r="O17" s="73"/>
      <c r="P17" s="74"/>
      <c r="R17" s="13">
        <f t="shared" si="1"/>
        <v>0</v>
      </c>
      <c r="S17" s="73"/>
      <c r="T17" s="73"/>
      <c r="U17" s="73"/>
      <c r="V17" s="73"/>
      <c r="W17" s="74"/>
    </row>
    <row r="18" spans="10:23" ht="14.4" x14ac:dyDescent="0.3">
      <c r="J18" s="11">
        <v>16</v>
      </c>
      <c r="K18" s="12">
        <f t="shared" si="0"/>
        <v>0</v>
      </c>
      <c r="L18" s="73"/>
      <c r="M18" s="73"/>
      <c r="N18" s="73"/>
      <c r="O18" s="73"/>
      <c r="P18" s="74"/>
      <c r="R18" s="13">
        <f t="shared" si="1"/>
        <v>0</v>
      </c>
      <c r="S18" s="73"/>
      <c r="T18" s="73"/>
      <c r="U18" s="73"/>
      <c r="V18" s="73"/>
      <c r="W18" s="74"/>
    </row>
    <row r="19" spans="10:23" ht="14.4" x14ac:dyDescent="0.3">
      <c r="J19" s="11">
        <v>17</v>
      </c>
      <c r="K19" s="12">
        <f t="shared" si="0"/>
        <v>0</v>
      </c>
      <c r="L19" s="73"/>
      <c r="M19" s="73"/>
      <c r="N19" s="73"/>
      <c r="O19" s="73"/>
      <c r="P19" s="74"/>
      <c r="R19" s="13">
        <f t="shared" si="1"/>
        <v>0</v>
      </c>
      <c r="S19" s="73"/>
      <c r="T19" s="73"/>
      <c r="U19" s="73"/>
      <c r="V19" s="73"/>
      <c r="W19" s="74"/>
    </row>
    <row r="20" spans="10:23" ht="14.4" x14ac:dyDescent="0.3">
      <c r="J20" s="11">
        <v>18</v>
      </c>
      <c r="K20" s="12">
        <f t="shared" si="0"/>
        <v>0</v>
      </c>
      <c r="L20" s="73"/>
      <c r="M20" s="73"/>
      <c r="N20" s="73"/>
      <c r="O20" s="73"/>
      <c r="P20" s="74"/>
      <c r="R20" s="13">
        <f t="shared" si="1"/>
        <v>0</v>
      </c>
      <c r="S20" s="73"/>
      <c r="T20" s="73"/>
      <c r="U20" s="73"/>
      <c r="V20" s="73"/>
      <c r="W20" s="74"/>
    </row>
    <row r="21" spans="10:23" ht="15.75" customHeight="1" x14ac:dyDescent="0.3">
      <c r="J21" s="11">
        <v>19</v>
      </c>
      <c r="K21" s="12">
        <f t="shared" si="0"/>
        <v>0</v>
      </c>
      <c r="L21" s="73"/>
      <c r="M21" s="73"/>
      <c r="N21" s="73"/>
      <c r="O21" s="73"/>
      <c r="P21" s="74"/>
      <c r="R21" s="13">
        <f t="shared" si="1"/>
        <v>0</v>
      </c>
      <c r="S21" s="73"/>
      <c r="T21" s="73"/>
      <c r="U21" s="73"/>
      <c r="V21" s="73"/>
      <c r="W21" s="74"/>
    </row>
    <row r="22" spans="10:23" ht="15.75" customHeight="1" x14ac:dyDescent="0.3">
      <c r="J22" s="11">
        <v>20</v>
      </c>
      <c r="K22" s="12">
        <f t="shared" si="0"/>
        <v>0</v>
      </c>
      <c r="L22" s="73"/>
      <c r="M22" s="73"/>
      <c r="N22" s="73"/>
      <c r="O22" s="73"/>
      <c r="P22" s="74"/>
      <c r="R22" s="13">
        <f t="shared" si="1"/>
        <v>0</v>
      </c>
      <c r="S22" s="73"/>
      <c r="T22" s="73"/>
      <c r="U22" s="73"/>
      <c r="V22" s="73"/>
      <c r="W22" s="74"/>
    </row>
    <row r="23" spans="10:23" ht="15.75" customHeight="1" x14ac:dyDescent="0.3">
      <c r="J23" s="11">
        <v>21</v>
      </c>
      <c r="K23" s="12">
        <f t="shared" si="0"/>
        <v>0</v>
      </c>
      <c r="L23" s="73"/>
      <c r="M23" s="73"/>
      <c r="N23" s="73"/>
      <c r="O23" s="73"/>
      <c r="P23" s="74"/>
      <c r="R23" s="13">
        <f t="shared" si="1"/>
        <v>0</v>
      </c>
      <c r="S23" s="73"/>
      <c r="T23" s="73"/>
      <c r="U23" s="73"/>
      <c r="V23" s="73"/>
      <c r="W23" s="74"/>
    </row>
    <row r="24" spans="10:23" ht="15.75" customHeight="1" x14ac:dyDescent="0.3">
      <c r="J24" s="11">
        <v>22</v>
      </c>
      <c r="K24" s="12">
        <f t="shared" si="0"/>
        <v>0</v>
      </c>
      <c r="L24" s="73"/>
      <c r="M24" s="73"/>
      <c r="N24" s="73"/>
      <c r="O24" s="73"/>
      <c r="P24" s="74"/>
      <c r="R24" s="13">
        <f t="shared" si="1"/>
        <v>0</v>
      </c>
      <c r="S24" s="73"/>
      <c r="T24" s="73"/>
      <c r="U24" s="73"/>
      <c r="V24" s="73"/>
      <c r="W24" s="74"/>
    </row>
    <row r="25" spans="10:23" ht="15.75" customHeight="1" x14ac:dyDescent="0.3">
      <c r="J25" s="11">
        <v>23</v>
      </c>
      <c r="K25" s="12">
        <f t="shared" si="0"/>
        <v>0</v>
      </c>
      <c r="L25" s="73"/>
      <c r="M25" s="73"/>
      <c r="N25" s="73"/>
      <c r="O25" s="73"/>
      <c r="P25" s="74"/>
      <c r="R25" s="13">
        <f t="shared" si="1"/>
        <v>0</v>
      </c>
      <c r="S25" s="73"/>
      <c r="T25" s="73"/>
      <c r="U25" s="73"/>
      <c r="V25" s="73"/>
      <c r="W25" s="74"/>
    </row>
    <row r="26" spans="10:23" ht="15.75" customHeight="1" x14ac:dyDescent="0.3">
      <c r="J26" s="11">
        <v>24</v>
      </c>
      <c r="K26" s="12">
        <f t="shared" si="0"/>
        <v>0</v>
      </c>
      <c r="L26" s="73"/>
      <c r="M26" s="73"/>
      <c r="N26" s="73"/>
      <c r="O26" s="73"/>
      <c r="P26" s="74"/>
      <c r="R26" s="13">
        <f t="shared" si="1"/>
        <v>0</v>
      </c>
      <c r="S26" s="73"/>
      <c r="T26" s="73"/>
      <c r="U26" s="73"/>
      <c r="V26" s="73"/>
      <c r="W26" s="74"/>
    </row>
    <row r="27" spans="10:23" ht="15.75" customHeight="1" x14ac:dyDescent="0.3">
      <c r="J27" s="11">
        <v>25</v>
      </c>
      <c r="K27" s="12">
        <f t="shared" si="0"/>
        <v>0</v>
      </c>
      <c r="L27" s="69"/>
      <c r="M27" s="69"/>
      <c r="N27" s="69"/>
      <c r="O27" s="69"/>
      <c r="P27" s="70"/>
      <c r="R27" s="13">
        <f t="shared" si="1"/>
        <v>0</v>
      </c>
      <c r="S27" s="73"/>
      <c r="T27" s="73"/>
      <c r="U27" s="73"/>
      <c r="V27" s="73"/>
      <c r="W27" s="74"/>
    </row>
    <row r="28" spans="10:23" ht="15.75" customHeight="1" x14ac:dyDescent="0.3">
      <c r="J28" s="11">
        <v>26</v>
      </c>
      <c r="K28" s="12">
        <f t="shared" si="0"/>
        <v>0</v>
      </c>
      <c r="L28" s="69"/>
      <c r="M28" s="69"/>
      <c r="N28" s="69"/>
      <c r="O28" s="69"/>
      <c r="P28" s="70"/>
      <c r="R28" s="13">
        <f t="shared" si="1"/>
        <v>0</v>
      </c>
      <c r="S28" s="73"/>
      <c r="T28" s="73"/>
      <c r="U28" s="73"/>
      <c r="V28" s="73"/>
      <c r="W28" s="74"/>
    </row>
    <row r="29" spans="10:23" ht="15.75" customHeight="1" x14ac:dyDescent="0.3">
      <c r="J29" s="11">
        <v>27</v>
      </c>
      <c r="K29" s="12">
        <f t="shared" si="0"/>
        <v>0</v>
      </c>
      <c r="L29" s="69"/>
      <c r="M29" s="69"/>
      <c r="N29" s="69"/>
      <c r="O29" s="69"/>
      <c r="P29" s="70"/>
      <c r="R29" s="13">
        <f t="shared" si="1"/>
        <v>0</v>
      </c>
      <c r="S29" s="73"/>
      <c r="T29" s="73"/>
      <c r="U29" s="73"/>
      <c r="V29" s="73"/>
      <c r="W29" s="74"/>
    </row>
    <row r="30" spans="10:23" ht="15.75" customHeight="1" x14ac:dyDescent="0.3">
      <c r="J30" s="11">
        <v>28</v>
      </c>
      <c r="K30" s="12">
        <f t="shared" si="0"/>
        <v>0</v>
      </c>
      <c r="L30" s="69"/>
      <c r="M30" s="69"/>
      <c r="N30" s="69"/>
      <c r="O30" s="69"/>
      <c r="P30" s="70"/>
      <c r="R30" s="13">
        <f t="shared" si="1"/>
        <v>0</v>
      </c>
      <c r="S30" s="73"/>
      <c r="T30" s="73"/>
      <c r="U30" s="73"/>
      <c r="V30" s="73"/>
      <c r="W30" s="74"/>
    </row>
    <row r="31" spans="10:23" ht="15.75" customHeight="1" x14ac:dyDescent="0.3">
      <c r="J31" s="11">
        <v>29</v>
      </c>
      <c r="K31" s="12">
        <f t="shared" si="0"/>
        <v>0</v>
      </c>
      <c r="L31" s="69"/>
      <c r="M31" s="69"/>
      <c r="N31" s="69"/>
      <c r="O31" s="69"/>
      <c r="P31" s="70"/>
      <c r="R31" s="13">
        <f t="shared" si="1"/>
        <v>0</v>
      </c>
      <c r="S31" s="73"/>
      <c r="T31" s="73"/>
      <c r="U31" s="73"/>
      <c r="V31" s="73"/>
      <c r="W31" s="74"/>
    </row>
    <row r="32" spans="10:23" ht="15.75" customHeight="1" x14ac:dyDescent="0.3">
      <c r="J32" s="11">
        <v>30</v>
      </c>
      <c r="K32" s="12">
        <f t="shared" si="0"/>
        <v>0</v>
      </c>
      <c r="L32" s="69"/>
      <c r="M32" s="69"/>
      <c r="N32" s="69"/>
      <c r="O32" s="69"/>
      <c r="P32" s="70"/>
      <c r="R32" s="13">
        <f t="shared" si="1"/>
        <v>0</v>
      </c>
      <c r="S32" s="73"/>
      <c r="T32" s="73"/>
      <c r="U32" s="73"/>
      <c r="V32" s="73"/>
      <c r="W32" s="74"/>
    </row>
    <row r="33" spans="10:23" ht="15.75" customHeight="1" x14ac:dyDescent="0.3">
      <c r="J33" s="11">
        <v>31</v>
      </c>
      <c r="K33" s="12">
        <f t="shared" si="0"/>
        <v>0</v>
      </c>
      <c r="L33" s="69"/>
      <c r="M33" s="69"/>
      <c r="N33" s="69"/>
      <c r="O33" s="69"/>
      <c r="P33" s="70"/>
      <c r="R33" s="13">
        <f t="shared" si="1"/>
        <v>0</v>
      </c>
      <c r="S33" s="73"/>
      <c r="T33" s="73"/>
      <c r="U33" s="73"/>
      <c r="V33" s="73"/>
      <c r="W33" s="74"/>
    </row>
    <row r="34" spans="10:23" ht="15.75" customHeight="1" x14ac:dyDescent="0.3">
      <c r="J34" s="11">
        <v>32</v>
      </c>
      <c r="K34" s="12">
        <f t="shared" si="0"/>
        <v>0</v>
      </c>
      <c r="L34" s="69"/>
      <c r="M34" s="69"/>
      <c r="N34" s="69"/>
      <c r="O34" s="69"/>
      <c r="P34" s="70"/>
      <c r="R34" s="13">
        <f t="shared" si="1"/>
        <v>0</v>
      </c>
      <c r="S34" s="73"/>
      <c r="T34" s="73"/>
      <c r="U34" s="73"/>
      <c r="V34" s="73"/>
      <c r="W34" s="74"/>
    </row>
    <row r="35" spans="10:23" ht="15.75" customHeight="1" x14ac:dyDescent="0.3">
      <c r="J35" s="11">
        <v>33</v>
      </c>
      <c r="K35" s="12">
        <f t="shared" si="0"/>
        <v>0</v>
      </c>
      <c r="L35" s="69"/>
      <c r="M35" s="69"/>
      <c r="N35" s="69"/>
      <c r="O35" s="69"/>
      <c r="P35" s="70"/>
      <c r="R35" s="13">
        <f t="shared" si="1"/>
        <v>0</v>
      </c>
      <c r="S35" s="73"/>
      <c r="T35" s="73"/>
      <c r="U35" s="73"/>
      <c r="V35" s="73"/>
      <c r="W35" s="74"/>
    </row>
    <row r="36" spans="10:23" ht="15.75" customHeight="1" x14ac:dyDescent="0.3">
      <c r="J36" s="11">
        <v>34</v>
      </c>
      <c r="K36" s="12">
        <f t="shared" si="0"/>
        <v>0</v>
      </c>
      <c r="L36" s="69"/>
      <c r="M36" s="69"/>
      <c r="N36" s="69"/>
      <c r="O36" s="69"/>
      <c r="P36" s="70"/>
      <c r="R36" s="13">
        <f t="shared" si="1"/>
        <v>0</v>
      </c>
      <c r="S36" s="73"/>
      <c r="T36" s="73"/>
      <c r="U36" s="73"/>
      <c r="V36" s="73"/>
      <c r="W36" s="74"/>
    </row>
    <row r="37" spans="10:23" ht="15.75" customHeight="1" x14ac:dyDescent="0.3">
      <c r="J37" s="11">
        <v>35</v>
      </c>
      <c r="K37" s="12">
        <f t="shared" si="0"/>
        <v>0</v>
      </c>
      <c r="L37" s="69"/>
      <c r="M37" s="69"/>
      <c r="N37" s="69"/>
      <c r="O37" s="69"/>
      <c r="P37" s="70"/>
      <c r="R37" s="13">
        <f t="shared" si="1"/>
        <v>0</v>
      </c>
      <c r="S37" s="73"/>
      <c r="T37" s="73"/>
      <c r="U37" s="73"/>
      <c r="V37" s="73"/>
      <c r="W37" s="74"/>
    </row>
    <row r="38" spans="10:23" ht="15.75" customHeight="1" x14ac:dyDescent="0.3">
      <c r="J38" s="11">
        <v>36</v>
      </c>
      <c r="K38" s="12">
        <f t="shared" si="0"/>
        <v>0</v>
      </c>
      <c r="L38" s="69"/>
      <c r="M38" s="69"/>
      <c r="N38" s="69"/>
      <c r="O38" s="69"/>
      <c r="P38" s="70"/>
      <c r="R38" s="13">
        <f t="shared" si="1"/>
        <v>0</v>
      </c>
      <c r="S38" s="73"/>
      <c r="T38" s="73"/>
      <c r="U38" s="73"/>
      <c r="V38" s="73"/>
      <c r="W38" s="74"/>
    </row>
    <row r="39" spans="10:23" ht="15.75" customHeight="1" x14ac:dyDescent="0.3">
      <c r="J39" s="11">
        <v>37</v>
      </c>
      <c r="K39" s="12">
        <f t="shared" si="0"/>
        <v>0</v>
      </c>
      <c r="L39" s="69"/>
      <c r="M39" s="69"/>
      <c r="N39" s="69"/>
      <c r="O39" s="69"/>
      <c r="P39" s="70"/>
      <c r="R39" s="13">
        <f t="shared" si="1"/>
        <v>0</v>
      </c>
      <c r="S39" s="73"/>
      <c r="T39" s="73"/>
      <c r="U39" s="73"/>
      <c r="V39" s="73"/>
      <c r="W39" s="74"/>
    </row>
    <row r="40" spans="10:23" ht="15.75" customHeight="1" x14ac:dyDescent="0.3">
      <c r="J40" s="11">
        <v>38</v>
      </c>
      <c r="K40" s="12">
        <f t="shared" si="0"/>
        <v>0</v>
      </c>
      <c r="L40" s="69"/>
      <c r="M40" s="69"/>
      <c r="N40" s="69"/>
      <c r="O40" s="69"/>
      <c r="P40" s="70"/>
      <c r="R40" s="13">
        <f t="shared" si="1"/>
        <v>0</v>
      </c>
      <c r="S40" s="73"/>
      <c r="T40" s="73"/>
      <c r="U40" s="73"/>
      <c r="V40" s="73"/>
      <c r="W40" s="74"/>
    </row>
    <row r="41" spans="10:23" ht="15.75" customHeight="1" x14ac:dyDescent="0.3">
      <c r="J41" s="11">
        <v>39</v>
      </c>
      <c r="K41" s="12">
        <f t="shared" si="0"/>
        <v>0</v>
      </c>
      <c r="L41" s="69"/>
      <c r="M41" s="69"/>
      <c r="N41" s="69"/>
      <c r="O41" s="69"/>
      <c r="P41" s="70"/>
      <c r="R41" s="13">
        <f t="shared" si="1"/>
        <v>0</v>
      </c>
      <c r="S41" s="73"/>
      <c r="T41" s="73"/>
      <c r="U41" s="73"/>
      <c r="V41" s="73"/>
      <c r="W41" s="74"/>
    </row>
    <row r="42" spans="10:23" ht="15.75" customHeight="1" x14ac:dyDescent="0.3">
      <c r="J42" s="11">
        <v>40</v>
      </c>
      <c r="K42" s="12">
        <f t="shared" si="0"/>
        <v>0</v>
      </c>
      <c r="L42" s="69"/>
      <c r="M42" s="69"/>
      <c r="N42" s="69"/>
      <c r="O42" s="69"/>
      <c r="P42" s="70"/>
      <c r="R42" s="13">
        <f t="shared" si="1"/>
        <v>0</v>
      </c>
      <c r="S42" s="73"/>
      <c r="T42" s="73"/>
      <c r="U42" s="73"/>
      <c r="V42" s="73"/>
      <c r="W42" s="74"/>
    </row>
    <row r="43" spans="10:23" ht="15.75" customHeight="1" x14ac:dyDescent="0.3">
      <c r="J43" s="11">
        <v>41</v>
      </c>
      <c r="K43" s="12">
        <f t="shared" si="0"/>
        <v>0</v>
      </c>
      <c r="L43" s="69"/>
      <c r="M43" s="69"/>
      <c r="N43" s="69"/>
      <c r="O43" s="69"/>
      <c r="P43" s="70"/>
      <c r="R43" s="13">
        <f t="shared" si="1"/>
        <v>0</v>
      </c>
      <c r="S43" s="73"/>
      <c r="T43" s="73"/>
      <c r="U43" s="73"/>
      <c r="V43" s="73"/>
      <c r="W43" s="74"/>
    </row>
    <row r="44" spans="10:23" ht="15.75" customHeight="1" x14ac:dyDescent="0.3">
      <c r="J44" s="11">
        <v>42</v>
      </c>
      <c r="K44" s="12">
        <f t="shared" si="0"/>
        <v>0</v>
      </c>
      <c r="L44" s="69"/>
      <c r="M44" s="69"/>
      <c r="N44" s="69"/>
      <c r="O44" s="69"/>
      <c r="P44" s="70"/>
      <c r="R44" s="13">
        <f t="shared" si="1"/>
        <v>0</v>
      </c>
      <c r="S44" s="73"/>
      <c r="T44" s="73"/>
      <c r="U44" s="73"/>
      <c r="V44" s="73"/>
      <c r="W44" s="74"/>
    </row>
    <row r="45" spans="10:23" ht="15.75" customHeight="1" x14ac:dyDescent="0.3">
      <c r="J45" s="11">
        <v>43</v>
      </c>
      <c r="K45" s="12">
        <f t="shared" si="0"/>
        <v>0</v>
      </c>
      <c r="L45" s="69"/>
      <c r="M45" s="69"/>
      <c r="N45" s="69"/>
      <c r="O45" s="69"/>
      <c r="P45" s="70"/>
      <c r="R45" s="13">
        <f t="shared" si="1"/>
        <v>0</v>
      </c>
      <c r="S45" s="73"/>
      <c r="T45" s="73"/>
      <c r="U45" s="73"/>
      <c r="V45" s="73"/>
      <c r="W45" s="74"/>
    </row>
    <row r="46" spans="10:23" ht="15.75" customHeight="1" x14ac:dyDescent="0.3">
      <c r="J46" s="11">
        <v>44</v>
      </c>
      <c r="K46" s="12">
        <f t="shared" si="0"/>
        <v>0</v>
      </c>
      <c r="L46" s="69"/>
      <c r="M46" s="69"/>
      <c r="N46" s="69"/>
      <c r="O46" s="69"/>
      <c r="P46" s="70"/>
      <c r="R46" s="13">
        <f t="shared" si="1"/>
        <v>0</v>
      </c>
      <c r="S46" s="73"/>
      <c r="T46" s="73"/>
      <c r="U46" s="73"/>
      <c r="V46" s="73"/>
      <c r="W46" s="74"/>
    </row>
    <row r="47" spans="10:23" ht="15.75" customHeight="1" x14ac:dyDescent="0.3">
      <c r="J47" s="11">
        <v>45</v>
      </c>
      <c r="K47" s="12">
        <f t="shared" si="0"/>
        <v>0</v>
      </c>
      <c r="L47" s="69"/>
      <c r="M47" s="69"/>
      <c r="N47" s="69"/>
      <c r="O47" s="69"/>
      <c r="P47" s="70"/>
      <c r="R47" s="13">
        <f t="shared" si="1"/>
        <v>0</v>
      </c>
      <c r="S47" s="73"/>
      <c r="T47" s="73"/>
      <c r="U47" s="73"/>
      <c r="V47" s="73"/>
      <c r="W47" s="74"/>
    </row>
    <row r="48" spans="10:23" ht="15.75" customHeight="1" x14ac:dyDescent="0.3">
      <c r="J48" s="11">
        <v>46</v>
      </c>
      <c r="K48" s="12">
        <f t="shared" si="0"/>
        <v>0</v>
      </c>
      <c r="L48" s="69"/>
      <c r="M48" s="69"/>
      <c r="N48" s="69"/>
      <c r="O48" s="69"/>
      <c r="P48" s="70"/>
      <c r="R48" s="13">
        <f t="shared" si="1"/>
        <v>0</v>
      </c>
      <c r="S48" s="73"/>
      <c r="T48" s="73"/>
      <c r="U48" s="73"/>
      <c r="V48" s="73"/>
      <c r="W48" s="74"/>
    </row>
    <row r="49" spans="10:23" ht="15.75" customHeight="1" x14ac:dyDescent="0.3">
      <c r="J49" s="11">
        <v>47</v>
      </c>
      <c r="K49" s="12">
        <f t="shared" si="0"/>
        <v>0</v>
      </c>
      <c r="L49" s="69"/>
      <c r="M49" s="69"/>
      <c r="N49" s="69"/>
      <c r="O49" s="69"/>
      <c r="P49" s="70"/>
      <c r="R49" s="13">
        <f t="shared" si="1"/>
        <v>0</v>
      </c>
      <c r="S49" s="73"/>
      <c r="T49" s="73"/>
      <c r="U49" s="73"/>
      <c r="V49" s="73"/>
      <c r="W49" s="74"/>
    </row>
    <row r="50" spans="10:23" ht="15.75" customHeight="1" x14ac:dyDescent="0.3">
      <c r="J50" s="11">
        <v>48</v>
      </c>
      <c r="K50" s="12">
        <f t="shared" si="0"/>
        <v>0</v>
      </c>
      <c r="L50" s="69"/>
      <c r="M50" s="69"/>
      <c r="N50" s="69"/>
      <c r="O50" s="69"/>
      <c r="P50" s="70"/>
      <c r="R50" s="13">
        <f t="shared" si="1"/>
        <v>0</v>
      </c>
      <c r="S50" s="73"/>
      <c r="T50" s="73"/>
      <c r="U50" s="73"/>
      <c r="V50" s="73"/>
      <c r="W50" s="74"/>
    </row>
    <row r="51" spans="10:23" ht="15.75" customHeight="1" x14ac:dyDescent="0.3">
      <c r="J51" s="11">
        <v>49</v>
      </c>
      <c r="K51" s="12">
        <f t="shared" si="0"/>
        <v>0</v>
      </c>
      <c r="L51" s="69"/>
      <c r="M51" s="69"/>
      <c r="N51" s="69"/>
      <c r="O51" s="69"/>
      <c r="P51" s="70"/>
      <c r="R51" s="13">
        <f t="shared" si="1"/>
        <v>0</v>
      </c>
      <c r="S51" s="73"/>
      <c r="T51" s="73"/>
      <c r="U51" s="73"/>
      <c r="V51" s="73"/>
      <c r="W51" s="74"/>
    </row>
    <row r="52" spans="10:23" ht="15.75" customHeight="1" x14ac:dyDescent="0.3">
      <c r="J52" s="11">
        <v>50</v>
      </c>
      <c r="K52" s="12">
        <f t="shared" si="0"/>
        <v>0</v>
      </c>
      <c r="L52" s="69"/>
      <c r="M52" s="69"/>
      <c r="N52" s="69"/>
      <c r="O52" s="69"/>
      <c r="P52" s="70"/>
      <c r="R52" s="13">
        <f t="shared" si="1"/>
        <v>0</v>
      </c>
      <c r="S52" s="73"/>
      <c r="T52" s="73"/>
      <c r="U52" s="73"/>
      <c r="V52" s="73"/>
      <c r="W52" s="74"/>
    </row>
    <row r="53" spans="10:23" ht="15.75" customHeight="1" x14ac:dyDescent="0.3">
      <c r="J53" s="11">
        <v>51</v>
      </c>
      <c r="K53" s="12">
        <f t="shared" si="0"/>
        <v>0</v>
      </c>
      <c r="L53" s="69"/>
      <c r="M53" s="69"/>
      <c r="N53" s="69"/>
      <c r="O53" s="69"/>
      <c r="P53" s="70"/>
      <c r="R53" s="13">
        <f t="shared" si="1"/>
        <v>0</v>
      </c>
      <c r="S53" s="73"/>
      <c r="T53" s="73"/>
      <c r="U53" s="73"/>
      <c r="V53" s="73"/>
      <c r="W53" s="74"/>
    </row>
    <row r="54" spans="10:23" ht="15.75" customHeight="1" x14ac:dyDescent="0.3">
      <c r="J54" s="11">
        <v>52</v>
      </c>
      <c r="K54" s="12">
        <f t="shared" si="0"/>
        <v>0</v>
      </c>
      <c r="L54" s="69"/>
      <c r="M54" s="69"/>
      <c r="N54" s="69"/>
      <c r="O54" s="69"/>
      <c r="P54" s="70"/>
      <c r="R54" s="13">
        <f t="shared" si="1"/>
        <v>0</v>
      </c>
      <c r="S54" s="73"/>
      <c r="T54" s="73"/>
      <c r="U54" s="73"/>
      <c r="V54" s="73"/>
      <c r="W54" s="74"/>
    </row>
    <row r="55" spans="10:23" ht="15.75" customHeight="1" x14ac:dyDescent="0.3">
      <c r="J55" s="11">
        <v>53</v>
      </c>
      <c r="K55" s="12">
        <f t="shared" si="0"/>
        <v>0</v>
      </c>
      <c r="L55" s="69"/>
      <c r="M55" s="69"/>
      <c r="N55" s="69"/>
      <c r="O55" s="69"/>
      <c r="P55" s="70"/>
      <c r="R55" s="13">
        <f t="shared" si="1"/>
        <v>0</v>
      </c>
      <c r="S55" s="73"/>
      <c r="T55" s="73"/>
      <c r="U55" s="73"/>
      <c r="V55" s="73"/>
      <c r="W55" s="74"/>
    </row>
    <row r="56" spans="10:23" ht="15.75" customHeight="1" x14ac:dyDescent="0.3">
      <c r="J56" s="11">
        <v>54</v>
      </c>
      <c r="K56" s="12">
        <f t="shared" si="0"/>
        <v>0</v>
      </c>
      <c r="L56" s="69"/>
      <c r="M56" s="69"/>
      <c r="N56" s="69"/>
      <c r="O56" s="69"/>
      <c r="P56" s="70"/>
      <c r="R56" s="13">
        <f t="shared" si="1"/>
        <v>0</v>
      </c>
      <c r="S56" s="73"/>
      <c r="T56" s="73"/>
      <c r="U56" s="73"/>
      <c r="V56" s="73"/>
      <c r="W56" s="74"/>
    </row>
    <row r="57" spans="10:23" ht="15.75" customHeight="1" x14ac:dyDescent="0.3">
      <c r="J57" s="17">
        <v>55</v>
      </c>
      <c r="K57" s="21">
        <f t="shared" si="0"/>
        <v>0</v>
      </c>
      <c r="L57" s="71"/>
      <c r="M57" s="71"/>
      <c r="N57" s="71"/>
      <c r="O57" s="71"/>
      <c r="P57" s="72"/>
      <c r="R57" s="22">
        <f t="shared" si="1"/>
        <v>0</v>
      </c>
      <c r="S57" s="75"/>
      <c r="T57" s="75"/>
      <c r="U57" s="75"/>
      <c r="V57" s="75"/>
      <c r="W57" s="76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S1:S2"/>
    <mergeCell ref="T1:T2"/>
    <mergeCell ref="U1:U2"/>
    <mergeCell ref="V1:V2"/>
    <mergeCell ref="W1:W2"/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</mergeCells>
  <conditionalFormatting sqref="L3:P9">
    <cfRule type="cellIs" dxfId="8" priority="1" operator="equal">
      <formula>0</formula>
    </cfRule>
  </conditionalFormatting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DADOS!$B$2:$B$5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L1000"/>
  <sheetViews>
    <sheetView showGridLines="0" zoomScale="85" zoomScaleNormal="85" workbookViewId="0">
      <selection activeCell="F18" sqref="F18"/>
    </sheetView>
  </sheetViews>
  <sheetFormatPr defaultColWidth="14.44140625" defaultRowHeight="15" customHeight="1" x14ac:dyDescent="0.3"/>
  <cols>
    <col min="1" max="1" width="22" customWidth="1"/>
    <col min="2" max="2" width="33" customWidth="1"/>
    <col min="3" max="3" width="15.109375" customWidth="1"/>
    <col min="4" max="4" width="17.6640625" customWidth="1"/>
    <col min="5" max="5" width="19.88671875" customWidth="1"/>
    <col min="6" max="6" width="20.109375" customWidth="1"/>
    <col min="7" max="7" width="21.109375" customWidth="1"/>
    <col min="8" max="8" width="13.88671875" customWidth="1"/>
    <col min="9" max="9" width="21.109375" customWidth="1"/>
    <col min="10" max="10" width="9.88671875" customWidth="1"/>
    <col min="11" max="11" width="11.33203125" customWidth="1"/>
    <col min="12" max="12" width="8.33203125" customWidth="1"/>
    <col min="13" max="26" width="8.6640625" customWidth="1"/>
  </cols>
  <sheetData>
    <row r="1" spans="1:12" ht="15" customHeight="1" x14ac:dyDescent="0.3">
      <c r="A1" s="23" t="s">
        <v>26</v>
      </c>
      <c r="B1" s="42" t="str">
        <f>'CQT ATUAL'!B1</f>
        <v>A052750522</v>
      </c>
      <c r="G1" s="100" t="s">
        <v>27</v>
      </c>
    </row>
    <row r="2" spans="1:12" ht="14.4" x14ac:dyDescent="0.3">
      <c r="A2" s="43"/>
      <c r="G2" s="78"/>
    </row>
    <row r="3" spans="1:12" ht="14.4" x14ac:dyDescent="0.3">
      <c r="A3" s="23" t="s">
        <v>28</v>
      </c>
      <c r="B3" s="25" t="s">
        <v>238</v>
      </c>
      <c r="D3" s="97" t="s">
        <v>30</v>
      </c>
      <c r="E3" s="96"/>
      <c r="F3" s="26">
        <v>75</v>
      </c>
      <c r="G3" s="27">
        <f>(F5)/F3</f>
        <v>0.69600000000000006</v>
      </c>
    </row>
    <row r="4" spans="1:12" ht="28.8" x14ac:dyDescent="0.3">
      <c r="A4" s="28" t="s">
        <v>31</v>
      </c>
      <c r="B4" s="29">
        <f>VLOOKUP(B3,'BASE DE DADOS'!P:R,2,0)</f>
        <v>3.5000000000000003E-2</v>
      </c>
      <c r="D4" s="94" t="s">
        <v>32</v>
      </c>
      <c r="E4" s="96"/>
      <c r="F4" s="25" t="str">
        <f>'CQT ATUAL+NC'!F4</f>
        <v>C380653</v>
      </c>
    </row>
    <row r="5" spans="1:12" ht="30" customHeight="1" x14ac:dyDescent="0.3">
      <c r="A5" s="28" t="s">
        <v>33</v>
      </c>
      <c r="B5" s="30">
        <f>VLOOKUP(B3,'BASE DE DADOS'!P:R,3,0)</f>
        <v>1.2170000000000001</v>
      </c>
      <c r="D5" s="101" t="s">
        <v>34</v>
      </c>
      <c r="E5" s="96"/>
      <c r="F5" s="31">
        <f>SUM('PROJ 01'!K3:K42)+SUM('PROJ 01'!R3:R42)</f>
        <v>52.2</v>
      </c>
    </row>
    <row r="7" spans="1:12" ht="14.4" x14ac:dyDescent="0.3">
      <c r="A7" s="97" t="s">
        <v>35</v>
      </c>
      <c r="B7" s="95"/>
      <c r="C7" s="96"/>
      <c r="D7" s="97" t="s">
        <v>36</v>
      </c>
      <c r="E7" s="95"/>
      <c r="F7" s="95"/>
      <c r="G7" s="95"/>
      <c r="H7" s="96"/>
      <c r="I7" s="93" t="s">
        <v>37</v>
      </c>
      <c r="J7" s="94" t="s">
        <v>38</v>
      </c>
      <c r="K7" s="95"/>
      <c r="L7" s="96"/>
    </row>
    <row r="8" spans="1:12" ht="30" customHeight="1" x14ac:dyDescent="0.3">
      <c r="A8" s="32" t="s">
        <v>7</v>
      </c>
      <c r="B8" s="98" t="s">
        <v>39</v>
      </c>
      <c r="C8" s="32" t="s">
        <v>40</v>
      </c>
      <c r="D8" s="99" t="s">
        <v>41</v>
      </c>
      <c r="E8" s="95"/>
      <c r="F8" s="96"/>
      <c r="G8" s="28" t="s">
        <v>42</v>
      </c>
      <c r="H8" s="33" t="s">
        <v>43</v>
      </c>
      <c r="I8" s="78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78"/>
      <c r="C9" s="23" t="s">
        <v>47</v>
      </c>
      <c r="D9" s="97" t="s">
        <v>48</v>
      </c>
      <c r="E9" s="95"/>
      <c r="F9" s="96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41" t="str">
        <f>'CQT ATUAL'!B11</f>
        <v>TRAFO</v>
      </c>
      <c r="C11" s="41">
        <v>0.17</v>
      </c>
      <c r="D11" s="31">
        <f>'PROJ 01'!K4</f>
        <v>0</v>
      </c>
      <c r="E11" s="31">
        <f>'PROJ 01'!R4</f>
        <v>0</v>
      </c>
      <c r="F11" s="31">
        <f>D11+E11</f>
        <v>0</v>
      </c>
      <c r="G11" s="31">
        <f t="shared" ref="G11:G64" si="0">SUMIF($B$11:$B$64,A11,$G$11:$G$64)+F11</f>
        <v>52.2</v>
      </c>
      <c r="H11" s="31">
        <f t="shared" ref="H11:H64" si="1">((D11/2)+G11)*C11</f>
        <v>8.8740000000000006</v>
      </c>
      <c r="I11" s="37" t="s">
        <v>68</v>
      </c>
      <c r="J11" s="30">
        <f>IFERROR(VLOOKUP(I11,'BASE DE DADOS'!$A$4:$B$83,2,0)," ")</f>
        <v>5.7299999999999997E-2</v>
      </c>
      <c r="K11" s="31">
        <f t="shared" ref="K11:K64" si="2">IFERROR(H11*J11," ")</f>
        <v>0.50848020000000005</v>
      </c>
      <c r="L11" s="38">
        <f t="shared" ref="L11:L64" si="3">IFERROR(IF(B11="TRAFO",K11,SUMIFS($L$11:$L$64,$A$11:$A$64,B11)+K11)," ")</f>
        <v>0.50848020000000005</v>
      </c>
    </row>
    <row r="12" spans="1:12" ht="14.4" x14ac:dyDescent="0.3">
      <c r="A12" s="30">
        <v>3</v>
      </c>
      <c r="B12" s="41">
        <v>2</v>
      </c>
      <c r="C12" s="41">
        <f>'CQT ATUAL'!C12</f>
        <v>0.12</v>
      </c>
      <c r="D12" s="31">
        <f>'PROJ 01'!K5</f>
        <v>0</v>
      </c>
      <c r="E12" s="31">
        <f>'PROJ 01'!R5</f>
        <v>0</v>
      </c>
      <c r="F12" s="31">
        <f t="shared" ref="F12:F64" si="4">D12+E12</f>
        <v>0</v>
      </c>
      <c r="G12" s="31">
        <f t="shared" si="0"/>
        <v>52.2</v>
      </c>
      <c r="H12" s="31">
        <f t="shared" si="1"/>
        <v>6.2640000000000002</v>
      </c>
      <c r="I12" s="37" t="s">
        <v>70</v>
      </c>
      <c r="J12" s="30">
        <f>IFERROR(VLOOKUP(I12,'BASE DE DADOS'!$A$4:$B$83,2,0)," ")</f>
        <v>8.9099999999999999E-2</v>
      </c>
      <c r="K12" s="31">
        <f t="shared" si="2"/>
        <v>0.55812240000000002</v>
      </c>
      <c r="L12" s="38">
        <f t="shared" si="3"/>
        <v>1.0666026</v>
      </c>
    </row>
    <row r="13" spans="1:12" ht="14.4" x14ac:dyDescent="0.3">
      <c r="A13" s="30">
        <v>4</v>
      </c>
      <c r="B13" s="41">
        <f>'CQT ATUAL'!B13</f>
        <v>3</v>
      </c>
      <c r="C13" s="41">
        <f>'CQT ATUAL'!C13</f>
        <v>0.4</v>
      </c>
      <c r="D13" s="31">
        <f>'PROJ 01'!K6</f>
        <v>0</v>
      </c>
      <c r="E13" s="31">
        <f>'PROJ 01'!R6</f>
        <v>0</v>
      </c>
      <c r="F13" s="31">
        <f t="shared" si="4"/>
        <v>0</v>
      </c>
      <c r="G13" s="31">
        <f t="shared" si="0"/>
        <v>52.2</v>
      </c>
      <c r="H13" s="31">
        <f t="shared" si="1"/>
        <v>20.880000000000003</v>
      </c>
      <c r="I13" s="37" t="s">
        <v>70</v>
      </c>
      <c r="J13" s="30">
        <f>IFERROR(VLOOKUP(I13,'BASE DE DADOS'!$A$4:$B$83,2,0)," ")</f>
        <v>8.9099999999999999E-2</v>
      </c>
      <c r="K13" s="31">
        <f t="shared" si="2"/>
        <v>1.8604080000000003</v>
      </c>
      <c r="L13" s="38">
        <f t="shared" si="3"/>
        <v>2.9270106</v>
      </c>
    </row>
    <row r="14" spans="1:12" ht="14.4" x14ac:dyDescent="0.3">
      <c r="A14" s="30">
        <v>5</v>
      </c>
      <c r="B14" s="41">
        <f>'CQT ATUAL'!B14</f>
        <v>4</v>
      </c>
      <c r="C14" s="41">
        <f>'CQT ATUAL'!C14</f>
        <v>0.4</v>
      </c>
      <c r="D14" s="31">
        <f>'PROJ 01'!K7</f>
        <v>49</v>
      </c>
      <c r="E14" s="31">
        <f>'PROJ 01'!R7</f>
        <v>0</v>
      </c>
      <c r="F14" s="31">
        <f t="shared" si="4"/>
        <v>49</v>
      </c>
      <c r="G14" s="31">
        <f t="shared" si="0"/>
        <v>52.2</v>
      </c>
      <c r="H14" s="31">
        <f t="shared" si="1"/>
        <v>30.680000000000003</v>
      </c>
      <c r="I14" s="37" t="s">
        <v>70</v>
      </c>
      <c r="J14" s="30">
        <f>IFERROR(VLOOKUP(I14,'BASE DE DADOS'!$A$4:$B$83,2,0)," ")</f>
        <v>8.9099999999999999E-2</v>
      </c>
      <c r="K14" s="31">
        <f t="shared" si="2"/>
        <v>2.7335880000000001</v>
      </c>
      <c r="L14" s="38">
        <f t="shared" si="3"/>
        <v>5.6605986000000001</v>
      </c>
    </row>
    <row r="15" spans="1:12" ht="14.4" x14ac:dyDescent="0.3">
      <c r="A15" s="30">
        <v>6</v>
      </c>
      <c r="B15" s="41">
        <f>'CQT ATUAL'!B15</f>
        <v>5</v>
      </c>
      <c r="C15" s="41">
        <f>'CQT ATUAL'!C15</f>
        <v>0.4</v>
      </c>
      <c r="D15" s="31">
        <f>'PROJ 01'!K8</f>
        <v>3.2</v>
      </c>
      <c r="E15" s="31">
        <f>'PROJ 01'!R8</f>
        <v>0</v>
      </c>
      <c r="F15" s="31">
        <f t="shared" si="4"/>
        <v>3.2</v>
      </c>
      <c r="G15" s="31">
        <f t="shared" si="0"/>
        <v>3.2</v>
      </c>
      <c r="H15" s="31">
        <f t="shared" si="1"/>
        <v>1.9200000000000004</v>
      </c>
      <c r="I15" s="37" t="s">
        <v>74</v>
      </c>
      <c r="J15" s="30">
        <f>IFERROR(VLOOKUP(I15,'BASE DE DADOS'!$A$4:$B$83,2,0)," ")</f>
        <v>0.1784</v>
      </c>
      <c r="K15" s="31">
        <f t="shared" si="2"/>
        <v>0.34252800000000005</v>
      </c>
      <c r="L15" s="38">
        <f t="shared" si="3"/>
        <v>6.0031265999999999</v>
      </c>
    </row>
    <row r="16" spans="1:12" ht="14.4" x14ac:dyDescent="0.3">
      <c r="A16" s="30">
        <v>7</v>
      </c>
      <c r="B16" s="19"/>
      <c r="C16" s="41"/>
      <c r="D16" s="31">
        <f>'PROJ 01'!K9</f>
        <v>0</v>
      </c>
      <c r="E16" s="31">
        <f>'PROJ 01'!R9</f>
        <v>0</v>
      </c>
      <c r="F16" s="31">
        <f t="shared" si="4"/>
        <v>0</v>
      </c>
      <c r="G16" s="31">
        <f t="shared" si="0"/>
        <v>0</v>
      </c>
      <c r="H16" s="31">
        <f t="shared" si="1"/>
        <v>0</v>
      </c>
      <c r="I16" s="25"/>
      <c r="J16" s="30" t="str">
        <f>IFERROR(VLOOKUP(I16,'BASE DE DADOS'!$A$4:$B$83,2,0)," ")</f>
        <v xml:space="preserve"> </v>
      </c>
      <c r="K16" s="31" t="str">
        <f t="shared" si="2"/>
        <v xml:space="preserve"> </v>
      </c>
      <c r="L16" s="38" t="str">
        <f t="shared" si="3"/>
        <v xml:space="preserve"> </v>
      </c>
    </row>
    <row r="17" spans="1:12" ht="14.4" x14ac:dyDescent="0.3">
      <c r="A17" s="30">
        <v>8</v>
      </c>
      <c r="B17" s="19"/>
      <c r="C17" s="41"/>
      <c r="D17" s="31">
        <f>'PROJ 01'!K10</f>
        <v>0</v>
      </c>
      <c r="E17" s="31">
        <f>'PROJ 01'!R10</f>
        <v>0</v>
      </c>
      <c r="F17" s="31">
        <f t="shared" si="4"/>
        <v>0</v>
      </c>
      <c r="G17" s="31">
        <f t="shared" si="0"/>
        <v>0</v>
      </c>
      <c r="H17" s="31">
        <f t="shared" si="1"/>
        <v>0</v>
      </c>
      <c r="I17" s="25"/>
      <c r="J17" s="30" t="str">
        <f>IFERROR(VLOOKUP(I17,'BASE DE DADOS'!$A$4:$B$83,2,0)," ")</f>
        <v xml:space="preserve"> </v>
      </c>
      <c r="K17" s="31" t="str">
        <f t="shared" si="2"/>
        <v xml:space="preserve"> </v>
      </c>
      <c r="L17" s="38" t="str">
        <f t="shared" si="3"/>
        <v xml:space="preserve"> </v>
      </c>
    </row>
    <row r="18" spans="1:12" ht="14.4" x14ac:dyDescent="0.3">
      <c r="A18" s="30">
        <v>9</v>
      </c>
      <c r="B18" s="19"/>
      <c r="C18" s="41"/>
      <c r="D18" s="31">
        <f>'PROJ 01'!K11</f>
        <v>0</v>
      </c>
      <c r="E18" s="31">
        <f>'PROJ 01'!R11</f>
        <v>0</v>
      </c>
      <c r="F18" s="31">
        <f t="shared" si="4"/>
        <v>0</v>
      </c>
      <c r="G18" s="31">
        <f t="shared" si="0"/>
        <v>0</v>
      </c>
      <c r="H18" s="31">
        <f t="shared" si="1"/>
        <v>0</v>
      </c>
      <c r="I18" s="25"/>
      <c r="J18" s="30" t="str">
        <f>IFERROR(VLOOKUP(I18,'BASE DE DADOS'!$A$4:$B$83,2,0)," ")</f>
        <v xml:space="preserve"> </v>
      </c>
      <c r="K18" s="31" t="str">
        <f t="shared" si="2"/>
        <v xml:space="preserve"> </v>
      </c>
      <c r="L18" s="38" t="str">
        <f t="shared" si="3"/>
        <v xml:space="preserve"> </v>
      </c>
    </row>
    <row r="19" spans="1:12" ht="14.4" x14ac:dyDescent="0.3">
      <c r="A19" s="30">
        <v>10</v>
      </c>
      <c r="B19" s="19"/>
      <c r="C19" s="41"/>
      <c r="D19" s="31">
        <f>'PROJ 01'!K12</f>
        <v>0</v>
      </c>
      <c r="E19" s="31">
        <f>'PROJ 01'!R12</f>
        <v>0</v>
      </c>
      <c r="F19" s="31">
        <f t="shared" si="4"/>
        <v>0</v>
      </c>
      <c r="G19" s="31">
        <f t="shared" si="0"/>
        <v>0</v>
      </c>
      <c r="H19" s="31">
        <f t="shared" si="1"/>
        <v>0</v>
      </c>
      <c r="I19" s="25"/>
      <c r="J19" s="30" t="str">
        <f>IFERROR(VLOOKUP(I19,'BASE DE DADOS'!$A$4:$B$83,2,0)," ")</f>
        <v xml:space="preserve"> </v>
      </c>
      <c r="K19" s="31" t="str">
        <f t="shared" si="2"/>
        <v xml:space="preserve"> </v>
      </c>
      <c r="L19" s="38" t="str">
        <f t="shared" si="3"/>
        <v xml:space="preserve"> </v>
      </c>
    </row>
    <row r="20" spans="1:12" ht="14.4" x14ac:dyDescent="0.3">
      <c r="A20" s="30">
        <v>11</v>
      </c>
      <c r="B20" s="19"/>
      <c r="C20" s="41"/>
      <c r="D20" s="31">
        <f>'PROJ 01'!K13</f>
        <v>0</v>
      </c>
      <c r="E20" s="31">
        <f>'PROJ 01'!R13</f>
        <v>0</v>
      </c>
      <c r="F20" s="31">
        <f t="shared" si="4"/>
        <v>0</v>
      </c>
      <c r="G20" s="31">
        <f t="shared" si="0"/>
        <v>0</v>
      </c>
      <c r="H20" s="31">
        <f t="shared" si="1"/>
        <v>0</v>
      </c>
      <c r="I20" s="25"/>
      <c r="J20" s="30" t="str">
        <f>IFERROR(VLOOKUP(I20,'BASE DE DADOS'!$A$4:$B$83,2,0)," ")</f>
        <v xml:space="preserve"> </v>
      </c>
      <c r="K20" s="31" t="str">
        <f t="shared" si="2"/>
        <v xml:space="preserve"> </v>
      </c>
      <c r="L20" s="38" t="str">
        <f t="shared" si="3"/>
        <v xml:space="preserve"> </v>
      </c>
    </row>
    <row r="21" spans="1:12" ht="15.75" customHeight="1" x14ac:dyDescent="0.3">
      <c r="A21" s="30">
        <v>12</v>
      </c>
      <c r="B21" s="19"/>
      <c r="C21" s="41"/>
      <c r="D21" s="31">
        <f>'PROJ 01'!K14</f>
        <v>0</v>
      </c>
      <c r="E21" s="31">
        <f>'PROJ 01'!R14</f>
        <v>0</v>
      </c>
      <c r="F21" s="31">
        <f t="shared" si="4"/>
        <v>0</v>
      </c>
      <c r="G21" s="31">
        <f t="shared" si="0"/>
        <v>0</v>
      </c>
      <c r="H21" s="31">
        <f t="shared" si="1"/>
        <v>0</v>
      </c>
      <c r="I21" s="25"/>
      <c r="J21" s="30" t="str">
        <f>IFERROR(VLOOKUP(I21,'BASE DE DADOS'!$A$4:$B$83,2,0)," ")</f>
        <v xml:space="preserve"> </v>
      </c>
      <c r="K21" s="31" t="str">
        <f t="shared" si="2"/>
        <v xml:space="preserve"> </v>
      </c>
      <c r="L21" s="38" t="str">
        <f t="shared" si="3"/>
        <v xml:space="preserve"> </v>
      </c>
    </row>
    <row r="22" spans="1:12" ht="15.75" customHeight="1" x14ac:dyDescent="0.3">
      <c r="A22" s="30">
        <v>13</v>
      </c>
      <c r="B22" s="19"/>
      <c r="C22" s="41"/>
      <c r="D22" s="31">
        <f>'PROJ 01'!K15</f>
        <v>0</v>
      </c>
      <c r="E22" s="31">
        <f>'PROJ 01'!R15</f>
        <v>0</v>
      </c>
      <c r="F22" s="31">
        <f t="shared" si="4"/>
        <v>0</v>
      </c>
      <c r="G22" s="31">
        <f t="shared" si="0"/>
        <v>0</v>
      </c>
      <c r="H22" s="31">
        <f t="shared" si="1"/>
        <v>0</v>
      </c>
      <c r="I22" s="25"/>
      <c r="J22" s="30" t="str">
        <f>IFERROR(VLOOKUP(I22,'BASE DE DADOS'!$A$4:$B$83,2,0)," ")</f>
        <v xml:space="preserve"> </v>
      </c>
      <c r="K22" s="31" t="str">
        <f t="shared" si="2"/>
        <v xml:space="preserve"> </v>
      </c>
      <c r="L22" s="38" t="str">
        <f t="shared" si="3"/>
        <v xml:space="preserve"> </v>
      </c>
    </row>
    <row r="23" spans="1:12" ht="15.75" customHeight="1" x14ac:dyDescent="0.3">
      <c r="A23" s="30">
        <v>14</v>
      </c>
      <c r="B23" s="19"/>
      <c r="C23" s="41"/>
      <c r="D23" s="31">
        <f>'PROJ 01'!K16</f>
        <v>0</v>
      </c>
      <c r="E23" s="31">
        <f>'PROJ 01'!R16</f>
        <v>0</v>
      </c>
      <c r="F23" s="31">
        <f t="shared" si="4"/>
        <v>0</v>
      </c>
      <c r="G23" s="31">
        <f t="shared" si="0"/>
        <v>0</v>
      </c>
      <c r="H23" s="31">
        <f t="shared" si="1"/>
        <v>0</v>
      </c>
      <c r="I23" s="25"/>
      <c r="J23" s="30" t="str">
        <f>IFERROR(VLOOKUP(I23,'BASE DE DADOS'!$A$4:$B$83,2,0)," ")</f>
        <v xml:space="preserve"> </v>
      </c>
      <c r="K23" s="31" t="str">
        <f t="shared" si="2"/>
        <v xml:space="preserve"> </v>
      </c>
      <c r="L23" s="38" t="str">
        <f t="shared" si="3"/>
        <v xml:space="preserve"> </v>
      </c>
    </row>
    <row r="24" spans="1:12" ht="15.75" customHeight="1" x14ac:dyDescent="0.3">
      <c r="A24" s="30">
        <v>15</v>
      </c>
      <c r="B24" s="19"/>
      <c r="C24" s="41"/>
      <c r="D24" s="31">
        <f>'PROJ 01'!K17</f>
        <v>0</v>
      </c>
      <c r="E24" s="31">
        <f>'PROJ 01'!R17</f>
        <v>0</v>
      </c>
      <c r="F24" s="31">
        <f t="shared" si="4"/>
        <v>0</v>
      </c>
      <c r="G24" s="31">
        <f t="shared" si="0"/>
        <v>0</v>
      </c>
      <c r="H24" s="31">
        <f t="shared" si="1"/>
        <v>0</v>
      </c>
      <c r="I24" s="25"/>
      <c r="J24" s="30" t="str">
        <f>IFERROR(VLOOKUP(I24,'BASE DE DADOS'!$A$4:$B$83,2,0)," ")</f>
        <v xml:space="preserve"> </v>
      </c>
      <c r="K24" s="31" t="str">
        <f t="shared" si="2"/>
        <v xml:space="preserve"> </v>
      </c>
      <c r="L24" s="38" t="str">
        <f t="shared" si="3"/>
        <v xml:space="preserve"> </v>
      </c>
    </row>
    <row r="25" spans="1:12" ht="15.75" customHeight="1" x14ac:dyDescent="0.3">
      <c r="A25" s="30">
        <v>16</v>
      </c>
      <c r="B25" s="19"/>
      <c r="C25" s="41"/>
      <c r="D25" s="31">
        <f>'PROJ 01'!K18</f>
        <v>0</v>
      </c>
      <c r="E25" s="31">
        <f>'PROJ 01'!R18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25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8" t="str">
        <f t="shared" si="3"/>
        <v xml:space="preserve"> </v>
      </c>
    </row>
    <row r="26" spans="1:12" ht="15.75" customHeight="1" x14ac:dyDescent="0.3">
      <c r="A26" s="30">
        <v>17</v>
      </c>
      <c r="B26" s="19"/>
      <c r="C26" s="41"/>
      <c r="D26" s="31">
        <f>'PROJ 01'!K19</f>
        <v>0</v>
      </c>
      <c r="E26" s="31">
        <f>'PROJ 01'!R19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25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8" t="str">
        <f t="shared" si="3"/>
        <v xml:space="preserve"> </v>
      </c>
    </row>
    <row r="27" spans="1:12" ht="15.75" customHeight="1" x14ac:dyDescent="0.3">
      <c r="A27" s="30">
        <v>18</v>
      </c>
      <c r="B27" s="19"/>
      <c r="C27" s="41"/>
      <c r="D27" s="31">
        <f>'PROJ 01'!K20</f>
        <v>0</v>
      </c>
      <c r="E27" s="31">
        <f>'PROJ 01'!R20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25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8" t="str">
        <f t="shared" si="3"/>
        <v xml:space="preserve"> </v>
      </c>
    </row>
    <row r="28" spans="1:12" ht="15.75" customHeight="1" x14ac:dyDescent="0.3">
      <c r="A28" s="30">
        <v>19</v>
      </c>
      <c r="B28" s="19"/>
      <c r="C28" s="41"/>
      <c r="D28" s="31">
        <f>'PROJ 01'!K21</f>
        <v>0</v>
      </c>
      <c r="E28" s="31">
        <f>'PROJ 01'!R21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25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8" t="str">
        <f t="shared" si="3"/>
        <v xml:space="preserve"> </v>
      </c>
    </row>
    <row r="29" spans="1:12" ht="15.75" customHeight="1" x14ac:dyDescent="0.3">
      <c r="A29" s="30">
        <v>20</v>
      </c>
      <c r="B29" s="19"/>
      <c r="C29" s="41"/>
      <c r="D29" s="31">
        <f>'PROJ 01'!K22</f>
        <v>0</v>
      </c>
      <c r="E29" s="31">
        <f>'PROJ 01'!R22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25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8" t="str">
        <f t="shared" si="3"/>
        <v xml:space="preserve"> </v>
      </c>
    </row>
    <row r="30" spans="1:12" ht="15.75" customHeight="1" x14ac:dyDescent="0.3">
      <c r="A30" s="30">
        <v>21</v>
      </c>
      <c r="B30" s="19"/>
      <c r="C30" s="41"/>
      <c r="D30" s="31">
        <f>'PROJ 01'!K23</f>
        <v>0</v>
      </c>
      <c r="E30" s="31">
        <f>'PROJ 01'!R23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25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8" t="str">
        <f t="shared" si="3"/>
        <v xml:space="preserve"> </v>
      </c>
    </row>
    <row r="31" spans="1:12" ht="15.75" customHeight="1" x14ac:dyDescent="0.3">
      <c r="A31" s="30">
        <v>22</v>
      </c>
      <c r="B31" s="19"/>
      <c r="C31" s="41"/>
      <c r="D31" s="31">
        <f>'PROJ 01'!K24</f>
        <v>0</v>
      </c>
      <c r="E31" s="31">
        <f>'PROJ 01'!R24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25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8" t="str">
        <f t="shared" si="3"/>
        <v xml:space="preserve"> </v>
      </c>
    </row>
    <row r="32" spans="1:12" ht="15.75" customHeight="1" x14ac:dyDescent="0.3">
      <c r="A32" s="30">
        <v>23</v>
      </c>
      <c r="B32" s="19"/>
      <c r="C32" s="41"/>
      <c r="D32" s="31">
        <f>'PROJ 01'!K25</f>
        <v>0</v>
      </c>
      <c r="E32" s="31">
        <f>'PROJ 01'!R25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25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8" t="str">
        <f t="shared" si="3"/>
        <v xml:space="preserve"> </v>
      </c>
    </row>
    <row r="33" spans="1:12" ht="15.75" customHeight="1" x14ac:dyDescent="0.3">
      <c r="A33" s="30">
        <v>24</v>
      </c>
      <c r="B33" s="19"/>
      <c r="C33" s="41"/>
      <c r="D33" s="31">
        <f>'PROJ 01'!K26</f>
        <v>0</v>
      </c>
      <c r="E33" s="31">
        <f>'PROJ 01'!R26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25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8" t="str">
        <f t="shared" si="3"/>
        <v xml:space="preserve"> </v>
      </c>
    </row>
    <row r="34" spans="1:12" ht="15.75" customHeight="1" x14ac:dyDescent="0.3">
      <c r="A34" s="30">
        <v>25</v>
      </c>
      <c r="B34" s="19"/>
      <c r="C34" s="41"/>
      <c r="D34" s="31">
        <f>'PROJ 01'!K27</f>
        <v>0</v>
      </c>
      <c r="E34" s="31">
        <f>'PROJ 01'!R27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25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8" t="str">
        <f t="shared" si="3"/>
        <v xml:space="preserve"> </v>
      </c>
    </row>
    <row r="35" spans="1:12" ht="15.75" customHeight="1" x14ac:dyDescent="0.3">
      <c r="A35" s="30">
        <v>26</v>
      </c>
      <c r="B35" s="19"/>
      <c r="C35" s="41"/>
      <c r="D35" s="31">
        <f>'PROJ 01'!K28</f>
        <v>0</v>
      </c>
      <c r="E35" s="31">
        <f>'PROJ 01'!R28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25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8" t="str">
        <f t="shared" si="3"/>
        <v xml:space="preserve"> </v>
      </c>
    </row>
    <row r="36" spans="1:12" ht="15.75" customHeight="1" x14ac:dyDescent="0.3">
      <c r="A36" s="30">
        <v>27</v>
      </c>
      <c r="B36" s="19"/>
      <c r="C36" s="41"/>
      <c r="D36" s="31">
        <f>'PROJ 01'!K29</f>
        <v>0</v>
      </c>
      <c r="E36" s="31">
        <f>'PROJ 01'!R29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25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8" t="str">
        <f t="shared" si="3"/>
        <v xml:space="preserve"> </v>
      </c>
    </row>
    <row r="37" spans="1:12" ht="15.75" customHeight="1" x14ac:dyDescent="0.3">
      <c r="A37" s="30">
        <v>28</v>
      </c>
      <c r="B37" s="19"/>
      <c r="C37" s="41"/>
      <c r="D37" s="31">
        <f>'PROJ 01'!K30</f>
        <v>0</v>
      </c>
      <c r="E37" s="31">
        <f>'PROJ 01'!R30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25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8" t="str">
        <f t="shared" si="3"/>
        <v xml:space="preserve"> </v>
      </c>
    </row>
    <row r="38" spans="1:12" ht="15.75" customHeight="1" x14ac:dyDescent="0.3">
      <c r="A38" s="30">
        <v>29</v>
      </c>
      <c r="B38" s="19"/>
      <c r="C38" s="41"/>
      <c r="D38" s="31">
        <f>'PROJ 01'!K31</f>
        <v>0</v>
      </c>
      <c r="E38" s="31">
        <f>'PROJ 01'!R31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25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8" t="str">
        <f t="shared" si="3"/>
        <v xml:space="preserve"> </v>
      </c>
    </row>
    <row r="39" spans="1:12" ht="15.75" customHeight="1" x14ac:dyDescent="0.3">
      <c r="A39" s="30">
        <v>30</v>
      </c>
      <c r="B39" s="19"/>
      <c r="C39" s="41"/>
      <c r="D39" s="31">
        <f>'PROJ 01'!K32</f>
        <v>0</v>
      </c>
      <c r="E39" s="31">
        <f>'PROJ 01'!R32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25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8" t="str">
        <f t="shared" si="3"/>
        <v xml:space="preserve"> </v>
      </c>
    </row>
    <row r="40" spans="1:12" ht="15.75" customHeight="1" x14ac:dyDescent="0.3">
      <c r="A40" s="30">
        <v>31</v>
      </c>
      <c r="B40" s="19"/>
      <c r="C40" s="41"/>
      <c r="D40" s="31">
        <f>'PROJ 01'!K33</f>
        <v>0</v>
      </c>
      <c r="E40" s="31">
        <f>'PROJ 01'!R33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25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8" t="str">
        <f t="shared" si="3"/>
        <v xml:space="preserve"> </v>
      </c>
    </row>
    <row r="41" spans="1:12" ht="15.75" customHeight="1" x14ac:dyDescent="0.3">
      <c r="A41" s="30">
        <v>32</v>
      </c>
      <c r="B41" s="19"/>
      <c r="C41" s="41"/>
      <c r="D41" s="31">
        <f>'PROJ 01'!K34</f>
        <v>0</v>
      </c>
      <c r="E41" s="31">
        <f>'PROJ 01'!R34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25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8" t="str">
        <f t="shared" si="3"/>
        <v xml:space="preserve"> </v>
      </c>
    </row>
    <row r="42" spans="1:12" ht="15.75" customHeight="1" x14ac:dyDescent="0.3">
      <c r="A42" s="30">
        <v>33</v>
      </c>
      <c r="B42" s="19"/>
      <c r="C42" s="41"/>
      <c r="D42" s="31">
        <f>'PROJ 01'!K35</f>
        <v>0</v>
      </c>
      <c r="E42" s="31">
        <f>'PROJ 01'!R35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25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8" t="str">
        <f t="shared" si="3"/>
        <v xml:space="preserve"> </v>
      </c>
    </row>
    <row r="43" spans="1:12" ht="15.75" customHeight="1" x14ac:dyDescent="0.3">
      <c r="A43" s="30">
        <v>34</v>
      </c>
      <c r="B43" s="19"/>
      <c r="C43" s="41"/>
      <c r="D43" s="31">
        <f>'PROJ 01'!K36</f>
        <v>0</v>
      </c>
      <c r="E43" s="31">
        <f>'PROJ 01'!R36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25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8" t="str">
        <f t="shared" si="3"/>
        <v xml:space="preserve"> </v>
      </c>
    </row>
    <row r="44" spans="1:12" ht="15.75" customHeight="1" x14ac:dyDescent="0.3">
      <c r="A44" s="30">
        <v>35</v>
      </c>
      <c r="B44" s="19"/>
      <c r="C44" s="41"/>
      <c r="D44" s="31">
        <f>'PROJ 01'!K37</f>
        <v>0</v>
      </c>
      <c r="E44" s="31">
        <f>'PROJ 01'!R37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25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8" t="str">
        <f t="shared" si="3"/>
        <v xml:space="preserve"> </v>
      </c>
    </row>
    <row r="45" spans="1:12" ht="15.75" customHeight="1" x14ac:dyDescent="0.3">
      <c r="A45" s="30">
        <v>36</v>
      </c>
      <c r="B45" s="19"/>
      <c r="C45" s="41"/>
      <c r="D45" s="31">
        <f>'PROJ 01'!K38</f>
        <v>0</v>
      </c>
      <c r="E45" s="31">
        <f>'PROJ 01'!R38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25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8" t="str">
        <f t="shared" si="3"/>
        <v xml:space="preserve"> </v>
      </c>
    </row>
    <row r="46" spans="1:12" ht="15.75" customHeight="1" x14ac:dyDescent="0.3">
      <c r="A46" s="30">
        <v>37</v>
      </c>
      <c r="B46" s="19"/>
      <c r="C46" s="41"/>
      <c r="D46" s="31">
        <f>'PROJ 01'!K39</f>
        <v>0</v>
      </c>
      <c r="E46" s="31">
        <f>'PROJ 01'!R39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25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8" t="str">
        <f t="shared" si="3"/>
        <v xml:space="preserve"> </v>
      </c>
    </row>
    <row r="47" spans="1:12" ht="15.75" customHeight="1" x14ac:dyDescent="0.3">
      <c r="A47" s="30">
        <v>38</v>
      </c>
      <c r="B47" s="19"/>
      <c r="C47" s="41"/>
      <c r="D47" s="31">
        <f>'PROJ 01'!K40</f>
        <v>0</v>
      </c>
      <c r="E47" s="31">
        <f>'PROJ 01'!R40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25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8" t="str">
        <f t="shared" si="3"/>
        <v xml:space="preserve"> </v>
      </c>
    </row>
    <row r="48" spans="1:12" ht="15.75" customHeight="1" x14ac:dyDescent="0.3">
      <c r="A48" s="30">
        <v>39</v>
      </c>
      <c r="B48" s="19"/>
      <c r="C48" s="41"/>
      <c r="D48" s="31">
        <f>'PROJ 01'!K41</f>
        <v>0</v>
      </c>
      <c r="E48" s="31">
        <f>'PROJ 01'!R41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25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8" t="str">
        <f t="shared" si="3"/>
        <v xml:space="preserve"> </v>
      </c>
    </row>
    <row r="49" spans="1:12" ht="15.75" customHeight="1" x14ac:dyDescent="0.3">
      <c r="A49" s="30">
        <v>40</v>
      </c>
      <c r="B49" s="19"/>
      <c r="C49" s="41"/>
      <c r="D49" s="31">
        <f>'PROJ 01'!K42</f>
        <v>0</v>
      </c>
      <c r="E49" s="31">
        <f>'PROJ 01'!R42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25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8" t="str">
        <f t="shared" si="3"/>
        <v xml:space="preserve"> </v>
      </c>
    </row>
    <row r="50" spans="1:12" ht="15.75" customHeight="1" x14ac:dyDescent="0.3">
      <c r="A50" s="30">
        <v>41</v>
      </c>
      <c r="B50" s="19"/>
      <c r="C50" s="41"/>
      <c r="D50" s="31">
        <f>'PROJ 01'!K43</f>
        <v>0</v>
      </c>
      <c r="E50" s="31">
        <f>'PROJ 01'!R43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25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8" t="str">
        <f t="shared" si="3"/>
        <v xml:space="preserve"> </v>
      </c>
    </row>
    <row r="51" spans="1:12" ht="15.75" customHeight="1" x14ac:dyDescent="0.3">
      <c r="A51" s="30">
        <v>42</v>
      </c>
      <c r="B51" s="19"/>
      <c r="C51" s="41"/>
      <c r="D51" s="31">
        <f>'PROJ 01'!K44</f>
        <v>0</v>
      </c>
      <c r="E51" s="31">
        <f>'PROJ 01'!R44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25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8" t="str">
        <f t="shared" si="3"/>
        <v xml:space="preserve"> </v>
      </c>
    </row>
    <row r="52" spans="1:12" ht="15.75" customHeight="1" x14ac:dyDescent="0.3">
      <c r="A52" s="30">
        <v>43</v>
      </c>
      <c r="B52" s="19"/>
      <c r="C52" s="41"/>
      <c r="D52" s="31">
        <f>'PROJ 01'!K45</f>
        <v>0</v>
      </c>
      <c r="E52" s="31">
        <f>'PROJ 01'!R45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25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8" t="str">
        <f t="shared" si="3"/>
        <v xml:space="preserve"> </v>
      </c>
    </row>
    <row r="53" spans="1:12" ht="15.75" customHeight="1" x14ac:dyDescent="0.3">
      <c r="A53" s="30">
        <v>44</v>
      </c>
      <c r="B53" s="19"/>
      <c r="C53" s="41"/>
      <c r="D53" s="31">
        <f>'PROJ 01'!K46</f>
        <v>0</v>
      </c>
      <c r="E53" s="31">
        <f>'PROJ 01'!R46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25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8" t="str">
        <f t="shared" si="3"/>
        <v xml:space="preserve"> </v>
      </c>
    </row>
    <row r="54" spans="1:12" ht="15.75" customHeight="1" x14ac:dyDescent="0.3">
      <c r="A54" s="30">
        <v>45</v>
      </c>
      <c r="B54" s="19"/>
      <c r="C54" s="41"/>
      <c r="D54" s="31">
        <f>'PROJ 01'!K47</f>
        <v>0</v>
      </c>
      <c r="E54" s="31">
        <f>'PROJ 01'!R47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25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8" t="str">
        <f t="shared" si="3"/>
        <v xml:space="preserve"> </v>
      </c>
    </row>
    <row r="55" spans="1:12" ht="15.75" customHeight="1" x14ac:dyDescent="0.3">
      <c r="A55" s="30">
        <v>46</v>
      </c>
      <c r="B55" s="19"/>
      <c r="C55" s="41"/>
      <c r="D55" s="31">
        <f>'PROJ 01'!K48</f>
        <v>0</v>
      </c>
      <c r="E55" s="31">
        <f>'PROJ 01'!R48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25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8" t="str">
        <f t="shared" si="3"/>
        <v xml:space="preserve"> </v>
      </c>
    </row>
    <row r="56" spans="1:12" ht="15.75" customHeight="1" x14ac:dyDescent="0.3">
      <c r="A56" s="30">
        <v>47</v>
      </c>
      <c r="B56" s="19"/>
      <c r="C56" s="41"/>
      <c r="D56" s="31">
        <f>'PROJ 01'!K49</f>
        <v>0</v>
      </c>
      <c r="E56" s="31">
        <f>'PROJ 01'!R49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25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8" t="str">
        <f t="shared" si="3"/>
        <v xml:space="preserve"> </v>
      </c>
    </row>
    <row r="57" spans="1:12" ht="15.75" customHeight="1" x14ac:dyDescent="0.3">
      <c r="A57" s="30">
        <v>48</v>
      </c>
      <c r="B57" s="19"/>
      <c r="C57" s="41"/>
      <c r="D57" s="31">
        <f>'PROJ 01'!K50</f>
        <v>0</v>
      </c>
      <c r="E57" s="31">
        <f>'PROJ 01'!R50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8" t="str">
        <f t="shared" si="3"/>
        <v xml:space="preserve"> </v>
      </c>
    </row>
    <row r="58" spans="1:12" ht="15.75" customHeight="1" x14ac:dyDescent="0.3">
      <c r="A58" s="30">
        <v>49</v>
      </c>
      <c r="B58" s="19"/>
      <c r="C58" s="41"/>
      <c r="D58" s="31">
        <f>'PROJ 01'!K51</f>
        <v>0</v>
      </c>
      <c r="E58" s="31">
        <f>'PROJ 01'!R51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8" t="str">
        <f t="shared" si="3"/>
        <v xml:space="preserve"> </v>
      </c>
    </row>
    <row r="59" spans="1:12" ht="15.75" customHeight="1" x14ac:dyDescent="0.3">
      <c r="A59" s="30">
        <v>50</v>
      </c>
      <c r="B59" s="19"/>
      <c r="C59" s="41"/>
      <c r="D59" s="31">
        <f>'PROJ 01'!K52</f>
        <v>0</v>
      </c>
      <c r="E59" s="31">
        <f>'PROJ 01'!R52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8" t="str">
        <f t="shared" si="3"/>
        <v xml:space="preserve"> </v>
      </c>
    </row>
    <row r="60" spans="1:12" ht="15.75" customHeight="1" x14ac:dyDescent="0.3">
      <c r="A60" s="30">
        <v>51</v>
      </c>
      <c r="B60" s="19"/>
      <c r="C60" s="41"/>
      <c r="D60" s="31">
        <f>'PROJ 01'!K53</f>
        <v>0</v>
      </c>
      <c r="E60" s="31">
        <f>'PROJ 01'!R53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8" t="str">
        <f t="shared" si="3"/>
        <v xml:space="preserve"> </v>
      </c>
    </row>
    <row r="61" spans="1:12" ht="15.75" customHeight="1" x14ac:dyDescent="0.3">
      <c r="A61" s="30">
        <v>52</v>
      </c>
      <c r="B61" s="19"/>
      <c r="C61" s="41"/>
      <c r="D61" s="31">
        <f>'PROJ 01'!K54</f>
        <v>0</v>
      </c>
      <c r="E61" s="31">
        <f>'PROJ 01'!R54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8" t="str">
        <f t="shared" si="3"/>
        <v xml:space="preserve"> </v>
      </c>
    </row>
    <row r="62" spans="1:12" ht="15.75" customHeight="1" x14ac:dyDescent="0.3">
      <c r="A62" s="30">
        <v>53</v>
      </c>
      <c r="B62" s="19"/>
      <c r="C62" s="41"/>
      <c r="D62" s="31">
        <f>'PROJ 01'!K55</f>
        <v>0</v>
      </c>
      <c r="E62" s="31">
        <f>'PROJ 01'!R55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8" t="str">
        <f t="shared" si="3"/>
        <v xml:space="preserve"> </v>
      </c>
    </row>
    <row r="63" spans="1:12" ht="15.75" customHeight="1" x14ac:dyDescent="0.3">
      <c r="A63" s="30">
        <v>54</v>
      </c>
      <c r="B63" s="19"/>
      <c r="C63" s="41"/>
      <c r="D63" s="31">
        <f>'PROJ 01'!K56</f>
        <v>0</v>
      </c>
      <c r="E63" s="31">
        <f>'PROJ 01'!R56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8" t="str">
        <f t="shared" si="3"/>
        <v xml:space="preserve"> </v>
      </c>
    </row>
    <row r="64" spans="1:12" ht="15.75" customHeight="1" x14ac:dyDescent="0.3">
      <c r="A64" s="30">
        <v>55</v>
      </c>
      <c r="B64" s="19"/>
      <c r="C64" s="41"/>
      <c r="D64" s="31">
        <f>'PROJ 01'!K57</f>
        <v>0</v>
      </c>
      <c r="E64" s="31">
        <f>'PROJ 01'!R57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8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G1:G2"/>
    <mergeCell ref="D3:E3"/>
    <mergeCell ref="D4:E4"/>
    <mergeCell ref="D5:E5"/>
    <mergeCell ref="D7:H7"/>
    <mergeCell ref="I7:I8"/>
    <mergeCell ref="J7:L7"/>
    <mergeCell ref="A7:C7"/>
    <mergeCell ref="B8:B9"/>
    <mergeCell ref="D8:F8"/>
    <mergeCell ref="D9:F9"/>
  </mergeCells>
  <conditionalFormatting sqref="B11:C15">
    <cfRule type="cellIs" dxfId="7" priority="1" operator="equal">
      <formula>0</formula>
    </cfRule>
  </conditionalFormatting>
  <conditionalFormatting sqref="G3">
    <cfRule type="cellIs" dxfId="6" priority="2" operator="greaterThan">
      <formula>1</formula>
    </cfRule>
    <cfRule type="cellIs" dxfId="5" priority="3" operator="lessThan">
      <formula>1</formula>
    </cfRule>
  </conditionalFormatting>
  <conditionalFormatting sqref="K11:L64">
    <cfRule type="cellIs" dxfId="4" priority="4" operator="greaterThan">
      <formula>6</formula>
    </cfRule>
  </conditionalFormatting>
  <conditionalFormatting sqref="L11:L49">
    <cfRule type="cellIs" dxfId="3" priority="5" operator="greaterThan">
      <formula>6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600-000001000000}">
          <x14:formula1>
            <xm:f>'BASE DE DADOS'!$T$2:$T$56</xm:f>
          </x14:formula1>
          <xm:sqref>B16:B64</xm:sqref>
        </x14:dataValidation>
        <x14:dataValidation type="list" allowBlank="1" showErrorMessage="1" xr:uid="{00000000-0002-0000-06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F973-1483-4AB8-98E1-1EFDCC43EDE1}">
  <sheetPr>
    <tabColor rgb="FF7030A0"/>
  </sheetPr>
  <dimension ref="A1:W1000"/>
  <sheetViews>
    <sheetView showGridLines="0" workbookViewId="0">
      <selection activeCell="L6" sqref="L6:O10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thickBot="1" x14ac:dyDescent="0.35">
      <c r="J1" s="81" t="s">
        <v>7</v>
      </c>
      <c r="K1" s="77" t="s">
        <v>8</v>
      </c>
      <c r="L1" s="77" t="s">
        <v>9</v>
      </c>
      <c r="M1" s="77" t="s">
        <v>10</v>
      </c>
      <c r="N1" s="77" t="s">
        <v>11</v>
      </c>
      <c r="O1" s="79" t="s">
        <v>12</v>
      </c>
      <c r="P1" s="80"/>
      <c r="R1" s="81" t="s">
        <v>8</v>
      </c>
      <c r="S1" s="77" t="s">
        <v>13</v>
      </c>
      <c r="T1" s="77" t="s">
        <v>14</v>
      </c>
      <c r="U1" s="77" t="s">
        <v>15</v>
      </c>
      <c r="V1" s="77" t="s">
        <v>16</v>
      </c>
      <c r="W1" s="91" t="s">
        <v>17</v>
      </c>
    </row>
    <row r="2" spans="1:23" thickBot="1" x14ac:dyDescent="0.35">
      <c r="A2" s="87" t="s">
        <v>18</v>
      </c>
      <c r="B2" s="88"/>
      <c r="C2" s="88"/>
      <c r="D2" s="86"/>
      <c r="F2" s="3" t="s">
        <v>19</v>
      </c>
      <c r="G2" s="4" t="s">
        <v>20</v>
      </c>
      <c r="H2" s="5" t="s">
        <v>2</v>
      </c>
      <c r="J2" s="82"/>
      <c r="K2" s="78"/>
      <c r="L2" s="78"/>
      <c r="M2" s="78"/>
      <c r="N2" s="78"/>
      <c r="O2" s="6" t="s">
        <v>20</v>
      </c>
      <c r="P2" s="7" t="s">
        <v>21</v>
      </c>
      <c r="R2" s="82"/>
      <c r="S2" s="78"/>
      <c r="T2" s="78"/>
      <c r="U2" s="78"/>
      <c r="V2" s="78"/>
      <c r="W2" s="92"/>
    </row>
    <row r="3" spans="1:23" ht="16.2" thickBot="1" x14ac:dyDescent="0.35">
      <c r="A3" s="83" t="s">
        <v>22</v>
      </c>
      <c r="B3" s="84"/>
      <c r="C3" s="89" t="s">
        <v>4</v>
      </c>
      <c r="D3" s="86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75</v>
      </c>
      <c r="L3" s="51"/>
      <c r="M3" s="52"/>
      <c r="N3" s="53"/>
      <c r="O3" s="54">
        <v>1</v>
      </c>
      <c r="P3" s="55">
        <v>75</v>
      </c>
      <c r="R3" s="13">
        <f t="shared" ref="R3:R57" si="1">S3*$H$3+T3*$H$4+U3*$H$5+V3*$H$6+W3*$H$7</f>
        <v>0</v>
      </c>
      <c r="S3" s="54"/>
      <c r="T3" s="54"/>
      <c r="U3" s="66"/>
      <c r="V3" s="54"/>
      <c r="W3" s="55"/>
    </row>
    <row r="4" spans="1:23" ht="16.2" thickBot="1" x14ac:dyDescent="0.35">
      <c r="A4" s="83" t="s">
        <v>24</v>
      </c>
      <c r="B4" s="84"/>
      <c r="C4" s="90">
        <f>SUM(L3:O57)</f>
        <v>1</v>
      </c>
      <c r="D4" s="86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56"/>
      <c r="M4" s="57"/>
      <c r="N4" s="58"/>
      <c r="O4" s="54"/>
      <c r="P4" s="55"/>
      <c r="R4" s="13">
        <f t="shared" si="1"/>
        <v>0</v>
      </c>
      <c r="S4" s="54"/>
      <c r="T4" s="54"/>
      <c r="U4" s="56"/>
      <c r="V4" s="54"/>
      <c r="W4" s="55"/>
    </row>
    <row r="5" spans="1:23" ht="16.2" thickBot="1" x14ac:dyDescent="0.35">
      <c r="A5" s="83" t="s">
        <v>25</v>
      </c>
      <c r="B5" s="84"/>
      <c r="C5" s="85">
        <v>1.6</v>
      </c>
      <c r="D5" s="86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56"/>
      <c r="M5" s="57"/>
      <c r="N5" s="57"/>
      <c r="O5" s="54"/>
      <c r="P5" s="55"/>
      <c r="R5" s="13">
        <f t="shared" si="1"/>
        <v>0</v>
      </c>
      <c r="S5" s="54"/>
      <c r="T5" s="54"/>
      <c r="U5" s="59"/>
      <c r="V5" s="54"/>
      <c r="W5" s="55"/>
    </row>
    <row r="6" spans="1:23" ht="15.6" x14ac:dyDescent="0.3"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59"/>
      <c r="M6" s="57"/>
      <c r="N6" s="58"/>
      <c r="O6" s="54"/>
      <c r="P6" s="55"/>
      <c r="R6" s="13">
        <f t="shared" si="1"/>
        <v>0</v>
      </c>
      <c r="S6" s="54"/>
      <c r="T6" s="54"/>
      <c r="U6" s="59"/>
      <c r="V6" s="54"/>
      <c r="W6" s="55"/>
    </row>
    <row r="7" spans="1:23" ht="16.2" thickBot="1" x14ac:dyDescent="0.35"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0</v>
      </c>
      <c r="L7" s="56"/>
      <c r="M7" s="57"/>
      <c r="N7" s="58"/>
      <c r="O7" s="54"/>
      <c r="P7" s="55"/>
      <c r="R7" s="13">
        <f t="shared" si="1"/>
        <v>0</v>
      </c>
      <c r="S7" s="54"/>
      <c r="T7" s="54"/>
      <c r="U7" s="56"/>
      <c r="V7" s="54"/>
      <c r="W7" s="55"/>
    </row>
    <row r="8" spans="1:23" ht="15.6" x14ac:dyDescent="0.3">
      <c r="B8" s="1"/>
      <c r="C8" s="1"/>
      <c r="D8" s="1"/>
      <c r="J8" s="11">
        <v>6</v>
      </c>
      <c r="K8" s="12">
        <f t="shared" si="0"/>
        <v>0</v>
      </c>
      <c r="L8" s="56"/>
      <c r="M8" s="57"/>
      <c r="N8" s="57"/>
      <c r="O8" s="54"/>
      <c r="P8" s="55"/>
      <c r="R8" s="13">
        <f t="shared" si="1"/>
        <v>0</v>
      </c>
      <c r="S8" s="54"/>
      <c r="T8" s="54"/>
      <c r="U8" s="59"/>
      <c r="V8" s="54"/>
      <c r="W8" s="55"/>
    </row>
    <row r="9" spans="1:23" ht="15.6" x14ac:dyDescent="0.3">
      <c r="J9" s="11">
        <v>7</v>
      </c>
      <c r="K9" s="12">
        <f t="shared" si="0"/>
        <v>0</v>
      </c>
      <c r="L9" s="56"/>
      <c r="M9" s="58"/>
      <c r="N9" s="58"/>
      <c r="O9" s="54"/>
      <c r="P9" s="55"/>
      <c r="R9" s="13">
        <f t="shared" si="1"/>
        <v>0</v>
      </c>
      <c r="S9" s="54"/>
      <c r="T9" s="54"/>
      <c r="U9" s="59"/>
      <c r="V9" s="54"/>
      <c r="W9" s="55"/>
    </row>
    <row r="10" spans="1:23" ht="15.6" x14ac:dyDescent="0.3">
      <c r="J10" s="11">
        <v>8</v>
      </c>
      <c r="K10" s="12">
        <f t="shared" si="0"/>
        <v>0</v>
      </c>
      <c r="L10" s="56"/>
      <c r="M10" s="58"/>
      <c r="N10" s="58"/>
      <c r="O10" s="54"/>
      <c r="P10" s="55"/>
      <c r="R10" s="13">
        <f t="shared" si="1"/>
        <v>0</v>
      </c>
      <c r="S10" s="54"/>
      <c r="T10" s="54"/>
      <c r="U10" s="59"/>
      <c r="V10" s="54"/>
      <c r="W10" s="55"/>
    </row>
    <row r="11" spans="1:23" ht="15.6" x14ac:dyDescent="0.3">
      <c r="B11" s="1"/>
      <c r="J11" s="11">
        <v>9</v>
      </c>
      <c r="K11" s="12">
        <f t="shared" si="0"/>
        <v>0</v>
      </c>
      <c r="L11" s="56"/>
      <c r="M11" s="57"/>
      <c r="N11" s="58"/>
      <c r="O11" s="54"/>
      <c r="P11" s="55"/>
      <c r="R11" s="13">
        <f t="shared" si="1"/>
        <v>0</v>
      </c>
      <c r="S11" s="54"/>
      <c r="T11" s="54"/>
      <c r="U11" s="56"/>
      <c r="V11" s="54"/>
      <c r="W11" s="55"/>
    </row>
    <row r="12" spans="1:23" ht="15.6" x14ac:dyDescent="0.3">
      <c r="J12" s="11">
        <v>10</v>
      </c>
      <c r="K12" s="12">
        <f t="shared" si="0"/>
        <v>0</v>
      </c>
      <c r="L12" s="56"/>
      <c r="M12" s="57"/>
      <c r="N12" s="58"/>
      <c r="O12" s="54"/>
      <c r="P12" s="55"/>
      <c r="R12" s="13">
        <f t="shared" si="1"/>
        <v>0</v>
      </c>
      <c r="S12" s="54"/>
      <c r="T12" s="54"/>
      <c r="U12" s="59"/>
      <c r="V12" s="54"/>
      <c r="W12" s="55"/>
    </row>
    <row r="13" spans="1:23" ht="15.6" x14ac:dyDescent="0.3">
      <c r="J13" s="11">
        <v>11</v>
      </c>
      <c r="K13" s="12">
        <f t="shared" si="0"/>
        <v>0</v>
      </c>
      <c r="L13" s="56"/>
      <c r="M13" s="58"/>
      <c r="N13" s="58"/>
      <c r="O13" s="54"/>
      <c r="P13" s="55"/>
      <c r="R13" s="13">
        <f t="shared" si="1"/>
        <v>0</v>
      </c>
      <c r="S13" s="54"/>
      <c r="T13" s="54"/>
      <c r="U13" s="56"/>
      <c r="V13" s="54"/>
      <c r="W13" s="55"/>
    </row>
    <row r="14" spans="1:23" ht="15.6" x14ac:dyDescent="0.3">
      <c r="J14" s="11">
        <v>12</v>
      </c>
      <c r="K14" s="12">
        <f t="shared" si="0"/>
        <v>0</v>
      </c>
      <c r="L14" s="59"/>
      <c r="M14" s="57"/>
      <c r="N14" s="58"/>
      <c r="O14" s="54"/>
      <c r="P14" s="55"/>
      <c r="R14" s="13">
        <f t="shared" si="1"/>
        <v>0</v>
      </c>
      <c r="S14" s="54"/>
      <c r="T14" s="54"/>
      <c r="U14" s="59"/>
      <c r="V14" s="54"/>
      <c r="W14" s="55"/>
    </row>
    <row r="15" spans="1:23" ht="15.6" x14ac:dyDescent="0.3">
      <c r="J15" s="11">
        <v>13</v>
      </c>
      <c r="K15" s="12">
        <f t="shared" si="0"/>
        <v>0</v>
      </c>
      <c r="L15" s="59"/>
      <c r="M15" s="57"/>
      <c r="N15" s="58"/>
      <c r="O15" s="54"/>
      <c r="P15" s="55"/>
      <c r="R15" s="13">
        <f t="shared" si="1"/>
        <v>0</v>
      </c>
      <c r="S15" s="54"/>
      <c r="T15" s="54"/>
      <c r="U15" s="59"/>
      <c r="V15" s="54"/>
      <c r="W15" s="55"/>
    </row>
    <row r="16" spans="1:23" ht="15.6" x14ac:dyDescent="0.3">
      <c r="J16" s="11">
        <v>14</v>
      </c>
      <c r="K16" s="12">
        <f t="shared" si="0"/>
        <v>0</v>
      </c>
      <c r="L16" s="59"/>
      <c r="M16" s="58"/>
      <c r="N16" s="58"/>
      <c r="O16" s="54"/>
      <c r="P16" s="55"/>
      <c r="R16" s="13">
        <f t="shared" si="1"/>
        <v>0</v>
      </c>
      <c r="S16" s="54"/>
      <c r="T16" s="54"/>
      <c r="U16" s="59"/>
      <c r="V16" s="54"/>
      <c r="W16" s="55"/>
    </row>
    <row r="17" spans="10:23" ht="15.6" x14ac:dyDescent="0.3">
      <c r="J17" s="11">
        <v>15</v>
      </c>
      <c r="K17" s="12">
        <f t="shared" si="0"/>
        <v>0</v>
      </c>
      <c r="L17" s="56"/>
      <c r="M17" s="57"/>
      <c r="N17" s="58"/>
      <c r="O17" s="54"/>
      <c r="P17" s="55"/>
      <c r="R17" s="13">
        <f t="shared" si="1"/>
        <v>0</v>
      </c>
      <c r="S17" s="54"/>
      <c r="T17" s="54"/>
      <c r="U17" s="59"/>
      <c r="V17" s="54"/>
      <c r="W17" s="55"/>
    </row>
    <row r="18" spans="10:23" ht="15.6" x14ac:dyDescent="0.3">
      <c r="J18" s="11">
        <v>16</v>
      </c>
      <c r="K18" s="12">
        <f t="shared" si="0"/>
        <v>0</v>
      </c>
      <c r="L18" s="56"/>
      <c r="M18" s="57"/>
      <c r="N18" s="58"/>
      <c r="O18" s="54"/>
      <c r="P18" s="55"/>
      <c r="R18" s="13">
        <f t="shared" si="1"/>
        <v>0</v>
      </c>
      <c r="S18" s="54"/>
      <c r="T18" s="54"/>
      <c r="U18" s="59"/>
      <c r="V18" s="54"/>
      <c r="W18" s="55"/>
    </row>
    <row r="19" spans="10:23" ht="15.6" x14ac:dyDescent="0.3">
      <c r="J19" s="11">
        <v>17</v>
      </c>
      <c r="K19" s="12">
        <f t="shared" si="0"/>
        <v>0</v>
      </c>
      <c r="L19" s="59"/>
      <c r="M19" s="58"/>
      <c r="N19" s="58"/>
      <c r="O19" s="54"/>
      <c r="P19" s="55"/>
      <c r="R19" s="13">
        <f t="shared" si="1"/>
        <v>0</v>
      </c>
      <c r="S19" s="54"/>
      <c r="T19" s="54"/>
      <c r="U19" s="56"/>
      <c r="V19" s="54"/>
      <c r="W19" s="55"/>
    </row>
    <row r="20" spans="10:23" ht="15.6" x14ac:dyDescent="0.3">
      <c r="J20" s="11">
        <v>18</v>
      </c>
      <c r="K20" s="12">
        <f t="shared" si="0"/>
        <v>0</v>
      </c>
      <c r="L20" s="59"/>
      <c r="M20" s="57"/>
      <c r="N20" s="58"/>
      <c r="O20" s="54"/>
      <c r="P20" s="55"/>
      <c r="R20" s="13">
        <f t="shared" si="1"/>
        <v>0</v>
      </c>
      <c r="S20" s="54"/>
      <c r="T20" s="54"/>
      <c r="U20" s="59"/>
      <c r="V20" s="54"/>
      <c r="W20" s="55"/>
    </row>
    <row r="21" spans="10:23" ht="15.75" customHeight="1" x14ac:dyDescent="0.3">
      <c r="J21" s="11">
        <v>19</v>
      </c>
      <c r="K21" s="12">
        <f t="shared" si="0"/>
        <v>0</v>
      </c>
      <c r="L21" s="56"/>
      <c r="M21" s="58"/>
      <c r="N21" s="58"/>
      <c r="O21" s="54"/>
      <c r="P21" s="55"/>
      <c r="R21" s="13">
        <f t="shared" si="1"/>
        <v>0</v>
      </c>
      <c r="S21" s="54"/>
      <c r="T21" s="54"/>
      <c r="U21" s="56"/>
      <c r="V21" s="54"/>
      <c r="W21" s="55"/>
    </row>
    <row r="22" spans="10:23" ht="15.75" customHeight="1" x14ac:dyDescent="0.3">
      <c r="J22" s="11">
        <v>20</v>
      </c>
      <c r="K22" s="12">
        <f t="shared" si="0"/>
        <v>0</v>
      </c>
      <c r="L22" s="56"/>
      <c r="M22" s="58"/>
      <c r="N22" s="58"/>
      <c r="O22" s="54"/>
      <c r="P22" s="55"/>
      <c r="R22" s="13">
        <f t="shared" si="1"/>
        <v>0</v>
      </c>
      <c r="S22" s="54"/>
      <c r="T22" s="54"/>
      <c r="U22" s="56"/>
      <c r="V22" s="54"/>
      <c r="W22" s="55"/>
    </row>
    <row r="23" spans="10:23" ht="15.75" customHeight="1" x14ac:dyDescent="0.3">
      <c r="J23" s="11">
        <v>21</v>
      </c>
      <c r="K23" s="12">
        <f t="shared" si="0"/>
        <v>0</v>
      </c>
      <c r="L23" s="56"/>
      <c r="M23" s="58"/>
      <c r="N23" s="58"/>
      <c r="O23" s="54"/>
      <c r="P23" s="55"/>
      <c r="R23" s="13">
        <f t="shared" si="1"/>
        <v>0</v>
      </c>
      <c r="S23" s="54"/>
      <c r="T23" s="54"/>
      <c r="U23" s="56"/>
      <c r="V23" s="54"/>
      <c r="W23" s="55"/>
    </row>
    <row r="24" spans="10:23" ht="15.75" customHeight="1" x14ac:dyDescent="0.3">
      <c r="J24" s="11">
        <v>22</v>
      </c>
      <c r="K24" s="12">
        <f t="shared" si="0"/>
        <v>0</v>
      </c>
      <c r="L24" s="56"/>
      <c r="M24" s="57"/>
      <c r="N24" s="58"/>
      <c r="O24" s="54"/>
      <c r="P24" s="55"/>
      <c r="R24" s="13">
        <f t="shared" si="1"/>
        <v>0</v>
      </c>
      <c r="S24" s="54"/>
      <c r="T24" s="54"/>
      <c r="U24" s="56"/>
      <c r="V24" s="54"/>
      <c r="W24" s="55"/>
    </row>
    <row r="25" spans="10:23" ht="15.75" customHeight="1" x14ac:dyDescent="0.3">
      <c r="J25" s="11">
        <v>23</v>
      </c>
      <c r="K25" s="12">
        <f t="shared" si="0"/>
        <v>0</v>
      </c>
      <c r="L25" s="56"/>
      <c r="M25" s="57"/>
      <c r="N25" s="58"/>
      <c r="O25" s="54"/>
      <c r="P25" s="55"/>
      <c r="R25" s="13">
        <f t="shared" si="1"/>
        <v>0</v>
      </c>
      <c r="S25" s="54"/>
      <c r="T25" s="54"/>
      <c r="U25" s="56"/>
      <c r="V25" s="54"/>
      <c r="W25" s="55"/>
    </row>
    <row r="26" spans="10:23" ht="15.75" customHeight="1" x14ac:dyDescent="0.3">
      <c r="J26" s="11">
        <v>24</v>
      </c>
      <c r="K26" s="12">
        <f t="shared" si="0"/>
        <v>0</v>
      </c>
      <c r="L26" s="56"/>
      <c r="M26" s="58"/>
      <c r="N26" s="58"/>
      <c r="O26" s="54"/>
      <c r="P26" s="55"/>
      <c r="R26" s="13">
        <f t="shared" si="1"/>
        <v>0</v>
      </c>
      <c r="S26" s="54"/>
      <c r="T26" s="54"/>
      <c r="U26" s="56"/>
      <c r="V26" s="54"/>
      <c r="W26" s="55"/>
    </row>
    <row r="27" spans="10:23" ht="15.75" customHeight="1" x14ac:dyDescent="0.3">
      <c r="J27" s="11">
        <v>25</v>
      </c>
      <c r="K27" s="12">
        <f t="shared" si="0"/>
        <v>0</v>
      </c>
      <c r="L27" s="56"/>
      <c r="M27" s="58"/>
      <c r="N27" s="57"/>
      <c r="O27" s="60"/>
      <c r="P27" s="61"/>
      <c r="R27" s="13">
        <f t="shared" si="1"/>
        <v>0</v>
      </c>
      <c r="S27" s="54"/>
      <c r="T27" s="54"/>
      <c r="U27" s="56"/>
      <c r="V27" s="54"/>
      <c r="W27" s="55"/>
    </row>
    <row r="28" spans="10:23" ht="15.75" customHeight="1" x14ac:dyDescent="0.3">
      <c r="J28" s="11">
        <v>26</v>
      </c>
      <c r="K28" s="12">
        <f t="shared" si="0"/>
        <v>0</v>
      </c>
      <c r="L28" s="59"/>
      <c r="M28" s="58"/>
      <c r="N28" s="58"/>
      <c r="O28" s="60"/>
      <c r="P28" s="61"/>
      <c r="R28" s="13">
        <f t="shared" si="1"/>
        <v>0</v>
      </c>
      <c r="S28" s="54"/>
      <c r="T28" s="54"/>
      <c r="U28" s="56"/>
      <c r="V28" s="54"/>
      <c r="W28" s="55"/>
    </row>
    <row r="29" spans="10:23" ht="15.75" customHeight="1" x14ac:dyDescent="0.3">
      <c r="J29" s="11">
        <v>27</v>
      </c>
      <c r="K29" s="12">
        <f t="shared" si="0"/>
        <v>0</v>
      </c>
      <c r="L29" s="56"/>
      <c r="M29" s="58"/>
      <c r="N29" s="58"/>
      <c r="O29" s="60"/>
      <c r="P29" s="61"/>
      <c r="R29" s="13">
        <f t="shared" si="1"/>
        <v>0</v>
      </c>
      <c r="S29" s="54"/>
      <c r="T29" s="54"/>
      <c r="U29" s="59"/>
      <c r="V29" s="54"/>
      <c r="W29" s="55"/>
    </row>
    <row r="30" spans="10:23" ht="15.75" customHeight="1" x14ac:dyDescent="0.3">
      <c r="J30" s="11">
        <v>28</v>
      </c>
      <c r="K30" s="12">
        <f t="shared" si="0"/>
        <v>0</v>
      </c>
      <c r="L30" s="59"/>
      <c r="M30" s="58"/>
      <c r="N30" s="58"/>
      <c r="O30" s="60"/>
      <c r="P30" s="61"/>
      <c r="R30" s="13">
        <f t="shared" si="1"/>
        <v>0</v>
      </c>
      <c r="S30" s="54"/>
      <c r="T30" s="54"/>
      <c r="U30" s="56"/>
      <c r="V30" s="54"/>
      <c r="W30" s="55"/>
    </row>
    <row r="31" spans="10:23" ht="15.75" customHeight="1" x14ac:dyDescent="0.3">
      <c r="J31" s="11">
        <v>29</v>
      </c>
      <c r="K31" s="12">
        <f t="shared" si="0"/>
        <v>0</v>
      </c>
      <c r="L31" s="56"/>
      <c r="M31" s="57"/>
      <c r="N31" s="58"/>
      <c r="O31" s="60"/>
      <c r="P31" s="61"/>
      <c r="R31" s="13">
        <f t="shared" si="1"/>
        <v>0</v>
      </c>
      <c r="S31" s="54"/>
      <c r="T31" s="54"/>
      <c r="U31" s="56"/>
      <c r="V31" s="54"/>
      <c r="W31" s="55"/>
    </row>
    <row r="32" spans="10:23" ht="15.75" customHeight="1" x14ac:dyDescent="0.3">
      <c r="J32" s="11">
        <v>30</v>
      </c>
      <c r="K32" s="12">
        <f t="shared" si="0"/>
        <v>0</v>
      </c>
      <c r="L32" s="56"/>
      <c r="M32" s="58"/>
      <c r="N32" s="58"/>
      <c r="O32" s="60"/>
      <c r="P32" s="61"/>
      <c r="R32" s="13">
        <f t="shared" si="1"/>
        <v>0</v>
      </c>
      <c r="S32" s="54"/>
      <c r="T32" s="54"/>
      <c r="U32" s="56"/>
      <c r="V32" s="54"/>
      <c r="W32" s="55"/>
    </row>
    <row r="33" spans="10:23" ht="15.75" customHeight="1" x14ac:dyDescent="0.3">
      <c r="J33" s="11">
        <v>31</v>
      </c>
      <c r="K33" s="12">
        <f t="shared" si="0"/>
        <v>0</v>
      </c>
      <c r="L33" s="56"/>
      <c r="M33" s="57"/>
      <c r="N33" s="58"/>
      <c r="O33" s="60"/>
      <c r="P33" s="61"/>
      <c r="R33" s="13">
        <f t="shared" si="1"/>
        <v>0</v>
      </c>
      <c r="S33" s="54"/>
      <c r="T33" s="54"/>
      <c r="U33" s="56"/>
      <c r="V33" s="54"/>
      <c r="W33" s="55"/>
    </row>
    <row r="34" spans="10:23" ht="15.75" customHeight="1" x14ac:dyDescent="0.3">
      <c r="J34" s="11">
        <v>32</v>
      </c>
      <c r="K34" s="12">
        <f t="shared" si="0"/>
        <v>0</v>
      </c>
      <c r="L34" s="56"/>
      <c r="M34" s="58"/>
      <c r="N34" s="58"/>
      <c r="O34" s="60"/>
      <c r="P34" s="61"/>
      <c r="R34" s="13">
        <f t="shared" si="1"/>
        <v>0</v>
      </c>
      <c r="S34" s="54"/>
      <c r="T34" s="54"/>
      <c r="U34" s="59"/>
      <c r="V34" s="54"/>
      <c r="W34" s="55"/>
    </row>
    <row r="35" spans="10:23" ht="15.75" customHeight="1" x14ac:dyDescent="0.3">
      <c r="J35" s="11">
        <v>33</v>
      </c>
      <c r="K35" s="12">
        <f t="shared" si="0"/>
        <v>0</v>
      </c>
      <c r="L35" s="56"/>
      <c r="M35" s="58"/>
      <c r="N35" s="58"/>
      <c r="O35" s="60"/>
      <c r="P35" s="61"/>
      <c r="R35" s="13">
        <f t="shared" si="1"/>
        <v>0</v>
      </c>
      <c r="S35" s="54"/>
      <c r="T35" s="54"/>
      <c r="U35" s="56"/>
      <c r="V35" s="54"/>
      <c r="W35" s="55"/>
    </row>
    <row r="36" spans="10:23" ht="15.75" customHeight="1" x14ac:dyDescent="0.3">
      <c r="J36" s="11">
        <v>34</v>
      </c>
      <c r="K36" s="12">
        <f t="shared" si="0"/>
        <v>0</v>
      </c>
      <c r="L36" s="56"/>
      <c r="M36" s="57"/>
      <c r="N36" s="58"/>
      <c r="O36" s="60"/>
      <c r="P36" s="61"/>
      <c r="R36" s="13">
        <f t="shared" si="1"/>
        <v>0</v>
      </c>
      <c r="S36" s="54"/>
      <c r="T36" s="54"/>
      <c r="U36" s="56"/>
      <c r="V36" s="54"/>
      <c r="W36" s="55"/>
    </row>
    <row r="37" spans="10:23" ht="15.75" customHeight="1" x14ac:dyDescent="0.3">
      <c r="J37" s="11">
        <v>35</v>
      </c>
      <c r="K37" s="12">
        <f t="shared" si="0"/>
        <v>0</v>
      </c>
      <c r="L37" s="56"/>
      <c r="M37" s="58"/>
      <c r="N37" s="58"/>
      <c r="O37" s="60"/>
      <c r="P37" s="61"/>
      <c r="R37" s="13">
        <f t="shared" si="1"/>
        <v>0</v>
      </c>
      <c r="S37" s="54"/>
      <c r="T37" s="54"/>
      <c r="U37" s="56"/>
      <c r="V37" s="54"/>
      <c r="W37" s="55"/>
    </row>
    <row r="38" spans="10:23" ht="15.75" customHeight="1" x14ac:dyDescent="0.3">
      <c r="J38" s="11">
        <v>36</v>
      </c>
      <c r="K38" s="12">
        <f t="shared" si="0"/>
        <v>0</v>
      </c>
      <c r="L38" s="56"/>
      <c r="M38" s="58"/>
      <c r="N38" s="58"/>
      <c r="O38" s="60"/>
      <c r="P38" s="61"/>
      <c r="R38" s="13">
        <f t="shared" si="1"/>
        <v>0</v>
      </c>
      <c r="S38" s="54"/>
      <c r="T38" s="54"/>
      <c r="U38" s="59"/>
      <c r="V38" s="54"/>
      <c r="W38" s="55"/>
    </row>
    <row r="39" spans="10:23" ht="15.75" customHeight="1" x14ac:dyDescent="0.3">
      <c r="J39" s="11">
        <v>37</v>
      </c>
      <c r="K39" s="12">
        <f t="shared" si="0"/>
        <v>0</v>
      </c>
      <c r="L39" s="56"/>
      <c r="M39" s="58"/>
      <c r="N39" s="58"/>
      <c r="O39" s="60"/>
      <c r="P39" s="61"/>
      <c r="R39" s="13">
        <f t="shared" si="1"/>
        <v>0</v>
      </c>
      <c r="S39" s="54"/>
      <c r="T39" s="54"/>
      <c r="U39" s="59"/>
      <c r="V39" s="54"/>
      <c r="W39" s="55"/>
    </row>
    <row r="40" spans="10:23" ht="15.75" customHeight="1" x14ac:dyDescent="0.3">
      <c r="J40" s="11">
        <v>38</v>
      </c>
      <c r="K40" s="12">
        <f t="shared" si="0"/>
        <v>0</v>
      </c>
      <c r="L40" s="56"/>
      <c r="M40" s="57"/>
      <c r="N40" s="58"/>
      <c r="O40" s="60"/>
      <c r="P40" s="61"/>
      <c r="R40" s="13">
        <f t="shared" si="1"/>
        <v>0</v>
      </c>
      <c r="S40" s="54"/>
      <c r="T40" s="54"/>
      <c r="U40" s="59"/>
      <c r="V40" s="54"/>
      <c r="W40" s="55"/>
    </row>
    <row r="41" spans="10:23" ht="15.75" customHeight="1" x14ac:dyDescent="0.3">
      <c r="J41" s="11">
        <v>39</v>
      </c>
      <c r="K41" s="12">
        <f t="shared" si="0"/>
        <v>0</v>
      </c>
      <c r="L41" s="56"/>
      <c r="M41" s="58"/>
      <c r="N41" s="58"/>
      <c r="O41" s="60"/>
      <c r="P41" s="61"/>
      <c r="R41" s="13">
        <f t="shared" si="1"/>
        <v>0</v>
      </c>
      <c r="S41" s="54"/>
      <c r="T41" s="54"/>
      <c r="U41" s="56"/>
      <c r="V41" s="54"/>
      <c r="W41" s="55"/>
    </row>
    <row r="42" spans="10:23" ht="15.75" customHeight="1" x14ac:dyDescent="0.3">
      <c r="J42" s="11">
        <v>40</v>
      </c>
      <c r="K42" s="12">
        <f t="shared" si="0"/>
        <v>0</v>
      </c>
      <c r="L42" s="56"/>
      <c r="M42" s="57"/>
      <c r="N42" s="57"/>
      <c r="O42" s="60"/>
      <c r="P42" s="61"/>
      <c r="R42" s="13">
        <f t="shared" si="1"/>
        <v>0</v>
      </c>
      <c r="S42" s="54"/>
      <c r="T42" s="54"/>
      <c r="U42" s="56"/>
      <c r="V42" s="54"/>
      <c r="W42" s="55"/>
    </row>
    <row r="43" spans="10:23" ht="15.75" customHeight="1" x14ac:dyDescent="0.3">
      <c r="J43" s="11">
        <v>41</v>
      </c>
      <c r="K43" s="12">
        <f t="shared" si="0"/>
        <v>0</v>
      </c>
      <c r="L43" s="56"/>
      <c r="M43" s="57"/>
      <c r="N43" s="58"/>
      <c r="O43" s="60"/>
      <c r="P43" s="61"/>
      <c r="R43" s="13">
        <f t="shared" si="1"/>
        <v>0</v>
      </c>
      <c r="S43" s="54"/>
      <c r="T43" s="54"/>
      <c r="U43" s="56"/>
      <c r="V43" s="54"/>
      <c r="W43" s="55"/>
    </row>
    <row r="44" spans="10:23" ht="15.75" customHeight="1" x14ac:dyDescent="0.3">
      <c r="J44" s="11">
        <v>42</v>
      </c>
      <c r="K44" s="12">
        <f t="shared" si="0"/>
        <v>0</v>
      </c>
      <c r="L44" s="56"/>
      <c r="M44" s="57"/>
      <c r="N44" s="58"/>
      <c r="O44" s="60"/>
      <c r="P44" s="61"/>
      <c r="R44" s="13">
        <f t="shared" si="1"/>
        <v>0</v>
      </c>
      <c r="S44" s="54"/>
      <c r="T44" s="54"/>
      <c r="U44" s="59"/>
      <c r="V44" s="54"/>
      <c r="W44" s="55"/>
    </row>
    <row r="45" spans="10:23" ht="15.75" customHeight="1" x14ac:dyDescent="0.3">
      <c r="J45" s="11">
        <v>43</v>
      </c>
      <c r="K45" s="12">
        <f t="shared" si="0"/>
        <v>0</v>
      </c>
      <c r="L45" s="56"/>
      <c r="M45" s="57"/>
      <c r="N45" s="58"/>
      <c r="O45" s="60"/>
      <c r="P45" s="61"/>
      <c r="R45" s="13">
        <f t="shared" si="1"/>
        <v>0</v>
      </c>
      <c r="S45" s="54"/>
      <c r="T45" s="54"/>
      <c r="U45" s="59"/>
      <c r="V45" s="54"/>
      <c r="W45" s="55"/>
    </row>
    <row r="46" spans="10:23" ht="15.75" customHeight="1" x14ac:dyDescent="0.3">
      <c r="J46" s="11">
        <v>44</v>
      </c>
      <c r="K46" s="12">
        <f t="shared" si="0"/>
        <v>0</v>
      </c>
      <c r="L46" s="56"/>
      <c r="M46" s="57"/>
      <c r="N46" s="58"/>
      <c r="O46" s="60"/>
      <c r="P46" s="61"/>
      <c r="R46" s="13">
        <f t="shared" si="1"/>
        <v>0</v>
      </c>
      <c r="S46" s="54"/>
      <c r="T46" s="54"/>
      <c r="U46" s="59"/>
      <c r="V46" s="54"/>
      <c r="W46" s="55"/>
    </row>
    <row r="47" spans="10:23" ht="15.75" customHeight="1" x14ac:dyDescent="0.3">
      <c r="J47" s="11">
        <v>45</v>
      </c>
      <c r="K47" s="12">
        <f t="shared" si="0"/>
        <v>0</v>
      </c>
      <c r="L47" s="56"/>
      <c r="M47" s="58"/>
      <c r="N47" s="58"/>
      <c r="O47" s="60"/>
      <c r="P47" s="61"/>
      <c r="R47" s="13">
        <f t="shared" si="1"/>
        <v>0</v>
      </c>
      <c r="S47" s="54"/>
      <c r="T47" s="54"/>
      <c r="U47" s="56"/>
      <c r="V47" s="54"/>
      <c r="W47" s="55"/>
    </row>
    <row r="48" spans="10:23" ht="15.75" customHeight="1" x14ac:dyDescent="0.3">
      <c r="J48" s="11">
        <v>46</v>
      </c>
      <c r="K48" s="12">
        <f t="shared" si="0"/>
        <v>0</v>
      </c>
      <c r="L48" s="56"/>
      <c r="M48" s="57"/>
      <c r="N48" s="58"/>
      <c r="O48" s="60"/>
      <c r="P48" s="61"/>
      <c r="R48" s="13">
        <f t="shared" si="1"/>
        <v>0</v>
      </c>
      <c r="S48" s="54"/>
      <c r="T48" s="54"/>
      <c r="U48" s="59"/>
      <c r="V48" s="54"/>
      <c r="W48" s="55"/>
    </row>
    <row r="49" spans="10:23" ht="15.75" customHeight="1" x14ac:dyDescent="0.3">
      <c r="J49" s="11">
        <v>47</v>
      </c>
      <c r="K49" s="12">
        <f t="shared" si="0"/>
        <v>0</v>
      </c>
      <c r="L49" s="56"/>
      <c r="M49" s="57"/>
      <c r="N49" s="57"/>
      <c r="O49" s="60"/>
      <c r="P49" s="61"/>
      <c r="R49" s="13">
        <f t="shared" si="1"/>
        <v>0</v>
      </c>
      <c r="S49" s="54"/>
      <c r="T49" s="54"/>
      <c r="U49" s="59"/>
      <c r="V49" s="54"/>
      <c r="W49" s="55"/>
    </row>
    <row r="50" spans="10:23" ht="15.75" customHeight="1" x14ac:dyDescent="0.3">
      <c r="J50" s="11">
        <v>48</v>
      </c>
      <c r="K50" s="12">
        <f t="shared" si="0"/>
        <v>0</v>
      </c>
      <c r="L50" s="56"/>
      <c r="M50" s="58"/>
      <c r="N50" s="58"/>
      <c r="O50" s="60"/>
      <c r="P50" s="61"/>
      <c r="R50" s="13">
        <f t="shared" si="1"/>
        <v>0</v>
      </c>
      <c r="S50" s="54"/>
      <c r="T50" s="54"/>
      <c r="U50" s="56"/>
      <c r="V50" s="54"/>
      <c r="W50" s="55"/>
    </row>
    <row r="51" spans="10:23" ht="15.75" customHeight="1" x14ac:dyDescent="0.3">
      <c r="J51" s="11">
        <v>49</v>
      </c>
      <c r="K51" s="12">
        <f t="shared" si="0"/>
        <v>0</v>
      </c>
      <c r="L51" s="56"/>
      <c r="M51" s="58"/>
      <c r="N51" s="58"/>
      <c r="O51" s="60"/>
      <c r="P51" s="61"/>
      <c r="R51" s="13">
        <f t="shared" si="1"/>
        <v>0</v>
      </c>
      <c r="S51" s="54"/>
      <c r="T51" s="54"/>
      <c r="U51" s="56"/>
      <c r="V51" s="54"/>
      <c r="W51" s="55"/>
    </row>
    <row r="52" spans="10:23" ht="15.75" customHeight="1" x14ac:dyDescent="0.3">
      <c r="J52" s="11">
        <v>50</v>
      </c>
      <c r="K52" s="12">
        <f t="shared" si="0"/>
        <v>0</v>
      </c>
      <c r="L52" s="56"/>
      <c r="M52" s="58"/>
      <c r="N52" s="58"/>
      <c r="O52" s="60"/>
      <c r="P52" s="61"/>
      <c r="R52" s="13">
        <f t="shared" si="1"/>
        <v>0</v>
      </c>
      <c r="S52" s="54"/>
      <c r="T52" s="54"/>
      <c r="U52" s="56"/>
      <c r="V52" s="54"/>
      <c r="W52" s="55"/>
    </row>
    <row r="53" spans="10:23" ht="15.75" customHeight="1" x14ac:dyDescent="0.3">
      <c r="J53" s="11">
        <v>51</v>
      </c>
      <c r="K53" s="12">
        <f t="shared" si="0"/>
        <v>0</v>
      </c>
      <c r="L53" s="56"/>
      <c r="M53" s="58"/>
      <c r="N53" s="58"/>
      <c r="O53" s="60"/>
      <c r="P53" s="61"/>
      <c r="R53" s="13">
        <f t="shared" si="1"/>
        <v>0</v>
      </c>
      <c r="S53" s="54"/>
      <c r="T53" s="54"/>
      <c r="U53" s="56"/>
      <c r="V53" s="54"/>
      <c r="W53" s="55"/>
    </row>
    <row r="54" spans="10:23" ht="15.75" customHeight="1" x14ac:dyDescent="0.3">
      <c r="J54" s="11">
        <v>52</v>
      </c>
      <c r="K54" s="12">
        <f t="shared" si="0"/>
        <v>0</v>
      </c>
      <c r="L54" s="56"/>
      <c r="M54" s="58"/>
      <c r="N54" s="58"/>
      <c r="O54" s="60"/>
      <c r="P54" s="61"/>
      <c r="R54" s="13">
        <f t="shared" si="1"/>
        <v>0</v>
      </c>
      <c r="S54" s="54"/>
      <c r="T54" s="54"/>
      <c r="U54" s="56"/>
      <c r="V54" s="54"/>
      <c r="W54" s="55"/>
    </row>
    <row r="55" spans="10:23" ht="15.75" customHeight="1" x14ac:dyDescent="0.3">
      <c r="J55" s="11">
        <v>53</v>
      </c>
      <c r="K55" s="12">
        <f t="shared" si="0"/>
        <v>0</v>
      </c>
      <c r="L55" s="56"/>
      <c r="M55" s="58"/>
      <c r="N55" s="58"/>
      <c r="O55" s="60"/>
      <c r="P55" s="61"/>
      <c r="R55" s="13">
        <f t="shared" si="1"/>
        <v>0</v>
      </c>
      <c r="S55" s="54"/>
      <c r="T55" s="54"/>
      <c r="U55" s="56"/>
      <c r="V55" s="54"/>
      <c r="W55" s="55"/>
    </row>
    <row r="56" spans="10:23" ht="15.75" customHeight="1" x14ac:dyDescent="0.3">
      <c r="J56" s="11">
        <v>54</v>
      </c>
      <c r="K56" s="12">
        <f t="shared" si="0"/>
        <v>0</v>
      </c>
      <c r="L56" s="56"/>
      <c r="M56" s="58"/>
      <c r="N56" s="58"/>
      <c r="O56" s="60"/>
      <c r="P56" s="61"/>
      <c r="R56" s="13">
        <f t="shared" si="1"/>
        <v>0</v>
      </c>
      <c r="S56" s="54"/>
      <c r="T56" s="54"/>
      <c r="U56" s="56"/>
      <c r="V56" s="54"/>
      <c r="W56" s="55"/>
    </row>
    <row r="57" spans="10:23" ht="15.75" customHeight="1" thickBot="1" x14ac:dyDescent="0.35">
      <c r="J57" s="17">
        <v>55</v>
      </c>
      <c r="K57" s="21">
        <f t="shared" si="0"/>
        <v>0</v>
      </c>
      <c r="L57" s="62"/>
      <c r="M57" s="63"/>
      <c r="N57" s="63"/>
      <c r="O57" s="64"/>
      <c r="P57" s="65"/>
      <c r="R57" s="22">
        <f t="shared" si="1"/>
        <v>0</v>
      </c>
      <c r="S57" s="67"/>
      <c r="T57" s="67"/>
      <c r="U57" s="62"/>
      <c r="V57" s="67"/>
      <c r="W57" s="68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A5:B5"/>
    <mergeCell ref="C5:D5"/>
    <mergeCell ref="R1:R2"/>
    <mergeCell ref="S1:S2"/>
    <mergeCell ref="T1:T2"/>
    <mergeCell ref="A2:D2"/>
    <mergeCell ref="A3:B3"/>
    <mergeCell ref="C3:D3"/>
    <mergeCell ref="A4:B4"/>
    <mergeCell ref="C4:D4"/>
    <mergeCell ref="U1:U2"/>
    <mergeCell ref="V1:V2"/>
    <mergeCell ref="W1:W2"/>
    <mergeCell ref="J1:J2"/>
    <mergeCell ref="K1:K2"/>
    <mergeCell ref="L1:L2"/>
    <mergeCell ref="M1:M2"/>
    <mergeCell ref="N1:N2"/>
    <mergeCell ref="O1:P1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6F406461-8ED3-45B9-9A84-F79B036049BD}">
          <x14:formula1>
            <xm:f>DADOS!$B$2:$B$5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4235-C5CB-4138-A948-ECB753F18BC0}">
  <sheetPr>
    <tabColor rgb="FF00B050"/>
    <pageSetUpPr fitToPage="1"/>
  </sheetPr>
  <dimension ref="A1:L1000"/>
  <sheetViews>
    <sheetView showGridLines="0" workbookViewId="0">
      <selection activeCell="I11" sqref="I11:I16"/>
    </sheetView>
  </sheetViews>
  <sheetFormatPr defaultColWidth="14.44140625" defaultRowHeight="15" customHeight="1" x14ac:dyDescent="0.3"/>
  <cols>
    <col min="1" max="1" width="21.88671875" customWidth="1"/>
    <col min="2" max="2" width="33" customWidth="1"/>
    <col min="3" max="3" width="14" customWidth="1"/>
    <col min="4" max="4" width="18.109375" customWidth="1"/>
    <col min="5" max="6" width="20.33203125" customWidth="1"/>
    <col min="7" max="7" width="21.44140625" customWidth="1"/>
    <col min="8" max="8" width="12.88671875" customWidth="1"/>
    <col min="9" max="9" width="22" customWidth="1"/>
    <col min="10" max="10" width="9.33203125" customWidth="1"/>
    <col min="11" max="11" width="10.6640625" customWidth="1"/>
    <col min="12" max="26" width="8.6640625" customWidth="1"/>
  </cols>
  <sheetData>
    <row r="1" spans="1:12" ht="15" customHeight="1" x14ac:dyDescent="0.3">
      <c r="A1" s="23" t="s">
        <v>26</v>
      </c>
      <c r="B1" s="24" t="s">
        <v>264</v>
      </c>
      <c r="G1" s="100" t="s">
        <v>27</v>
      </c>
    </row>
    <row r="2" spans="1:12" ht="14.4" x14ac:dyDescent="0.3">
      <c r="G2" s="78"/>
    </row>
    <row r="3" spans="1:12" ht="14.4" x14ac:dyDescent="0.3">
      <c r="A3" s="23" t="s">
        <v>28</v>
      </c>
      <c r="B3" s="25" t="s">
        <v>238</v>
      </c>
      <c r="D3" s="97" t="s">
        <v>30</v>
      </c>
      <c r="E3" s="96"/>
      <c r="F3" s="26">
        <v>75</v>
      </c>
      <c r="G3" s="27">
        <f>(F5)/F3</f>
        <v>1</v>
      </c>
    </row>
    <row r="4" spans="1:12" ht="28.8" x14ac:dyDescent="0.3">
      <c r="A4" s="28" t="s">
        <v>31</v>
      </c>
      <c r="B4" s="29">
        <f>VLOOKUP(B3,'BASE DE DADOS'!P:R,2,0)</f>
        <v>3.5000000000000003E-2</v>
      </c>
      <c r="D4" s="94" t="s">
        <v>32</v>
      </c>
      <c r="E4" s="96"/>
      <c r="F4" s="25" t="s">
        <v>265</v>
      </c>
    </row>
    <row r="5" spans="1:12" ht="30" customHeight="1" x14ac:dyDescent="0.3">
      <c r="A5" s="28" t="s">
        <v>33</v>
      </c>
      <c r="B5" s="30">
        <v>1</v>
      </c>
      <c r="D5" s="101" t="s">
        <v>34</v>
      </c>
      <c r="E5" s="96"/>
      <c r="F5" s="31">
        <f>SUM(MELHORADO!K3:K57)+SUM(MELHORADO!R3:R57)</f>
        <v>75</v>
      </c>
    </row>
    <row r="7" spans="1:12" ht="14.4" x14ac:dyDescent="0.3">
      <c r="A7" s="97" t="s">
        <v>35</v>
      </c>
      <c r="B7" s="95"/>
      <c r="C7" s="96"/>
      <c r="D7" s="97" t="s">
        <v>36</v>
      </c>
      <c r="E7" s="95"/>
      <c r="F7" s="95"/>
      <c r="G7" s="95"/>
      <c r="H7" s="96"/>
      <c r="I7" s="93" t="s">
        <v>37</v>
      </c>
      <c r="J7" s="94" t="s">
        <v>38</v>
      </c>
      <c r="K7" s="95"/>
      <c r="L7" s="96"/>
    </row>
    <row r="8" spans="1:12" ht="30" customHeight="1" x14ac:dyDescent="0.3">
      <c r="A8" s="32" t="s">
        <v>7</v>
      </c>
      <c r="B8" s="98" t="s">
        <v>39</v>
      </c>
      <c r="C8" s="32" t="s">
        <v>40</v>
      </c>
      <c r="D8" s="99" t="s">
        <v>41</v>
      </c>
      <c r="E8" s="95"/>
      <c r="F8" s="96"/>
      <c r="G8" s="28" t="s">
        <v>42</v>
      </c>
      <c r="H8" s="33" t="s">
        <v>43</v>
      </c>
      <c r="I8" s="78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78"/>
      <c r="C9" s="23" t="s">
        <v>47</v>
      </c>
      <c r="D9" s="97" t="s">
        <v>48</v>
      </c>
      <c r="E9" s="95"/>
      <c r="F9" s="96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35"/>
      <c r="C11" s="36"/>
      <c r="D11" s="31">
        <f>MELHORADO!K4</f>
        <v>0</v>
      </c>
      <c r="E11" s="31">
        <f>MELHORADO!R4</f>
        <v>0</v>
      </c>
      <c r="F11" s="31">
        <f>D11+E11</f>
        <v>0</v>
      </c>
      <c r="G11" s="31">
        <f t="shared" ref="G11:G64" si="0">SUMIF($B$11:$B$64,A11,$G$11:$G$64)+F11</f>
        <v>0</v>
      </c>
      <c r="H11" s="31">
        <f t="shared" ref="H11:H64" si="1">((D11/2)+G11)*C11</f>
        <v>0</v>
      </c>
      <c r="I11" s="37"/>
      <c r="J11" s="30" t="str">
        <f>IFERROR(VLOOKUP(I11,'BASE DE DADOS'!$A$4:$B$83,2,0)," ")</f>
        <v xml:space="preserve"> </v>
      </c>
      <c r="K11" s="31" t="str">
        <f t="shared" ref="K11:K64" si="2">IFERROR(H11*J11," ")</f>
        <v xml:space="preserve"> </v>
      </c>
      <c r="L11" s="38" t="str">
        <f t="shared" ref="L11:L64" si="3">IFERROR(IF(B11="TRAFO",K11,SUMIFS($L$11:$L$64,$A$11:$A$64,B11)+K11)," ")</f>
        <v xml:space="preserve"> </v>
      </c>
    </row>
    <row r="12" spans="1:12" ht="14.4" x14ac:dyDescent="0.3">
      <c r="A12" s="30">
        <v>3</v>
      </c>
      <c r="B12" s="20"/>
      <c r="C12" s="39"/>
      <c r="D12" s="31">
        <f>MELHORADO!K5</f>
        <v>0</v>
      </c>
      <c r="E12" s="31">
        <f>MELHORADO!R5</f>
        <v>0</v>
      </c>
      <c r="F12" s="31">
        <f t="shared" ref="F12:F64" si="4">D12+E12</f>
        <v>0</v>
      </c>
      <c r="G12" s="31">
        <f t="shared" si="0"/>
        <v>0</v>
      </c>
      <c r="H12" s="31">
        <f t="shared" si="1"/>
        <v>0</v>
      </c>
      <c r="I12" s="37"/>
      <c r="J12" s="30" t="str">
        <f>IFERROR(VLOOKUP(I12,'BASE DE DADOS'!$A$4:$B$83,2,0)," ")</f>
        <v xml:space="preserve"> </v>
      </c>
      <c r="K12" s="31" t="str">
        <f t="shared" si="2"/>
        <v xml:space="preserve"> </v>
      </c>
      <c r="L12" s="38" t="str">
        <f t="shared" si="3"/>
        <v xml:space="preserve"> </v>
      </c>
    </row>
    <row r="13" spans="1:12" ht="14.4" x14ac:dyDescent="0.3">
      <c r="A13" s="30">
        <v>4</v>
      </c>
      <c r="B13" s="20"/>
      <c r="C13" s="39"/>
      <c r="D13" s="31">
        <f>MELHORADO!K6</f>
        <v>0</v>
      </c>
      <c r="E13" s="31">
        <f>MELHORADO!R6</f>
        <v>0</v>
      </c>
      <c r="F13" s="31">
        <f t="shared" si="4"/>
        <v>0</v>
      </c>
      <c r="G13" s="31">
        <f t="shared" si="0"/>
        <v>0</v>
      </c>
      <c r="H13" s="31">
        <f t="shared" si="1"/>
        <v>0</v>
      </c>
      <c r="I13" s="37"/>
      <c r="J13" s="30" t="str">
        <f>IFERROR(VLOOKUP(I13,'BASE DE DADOS'!$A$4:$B$83,2,0)," ")</f>
        <v xml:space="preserve"> </v>
      </c>
      <c r="K13" s="31" t="str">
        <f t="shared" si="2"/>
        <v xml:space="preserve"> </v>
      </c>
      <c r="L13" s="38" t="str">
        <f t="shared" si="3"/>
        <v xml:space="preserve"> </v>
      </c>
    </row>
    <row r="14" spans="1:12" ht="14.4" x14ac:dyDescent="0.3">
      <c r="A14" s="30">
        <v>5</v>
      </c>
      <c r="B14" s="20"/>
      <c r="C14" s="39"/>
      <c r="D14" s="31">
        <f>MELHORADO!K7</f>
        <v>0</v>
      </c>
      <c r="E14" s="31">
        <f>MELHORADO!R7</f>
        <v>0</v>
      </c>
      <c r="F14" s="31">
        <f t="shared" si="4"/>
        <v>0</v>
      </c>
      <c r="G14" s="31">
        <f t="shared" si="0"/>
        <v>0</v>
      </c>
      <c r="H14" s="31">
        <f t="shared" si="1"/>
        <v>0</v>
      </c>
      <c r="I14" s="37"/>
      <c r="J14" s="30" t="str">
        <f>IFERROR(VLOOKUP(I14,'BASE DE DADOS'!$A$4:$B$83,2,0)," ")</f>
        <v xml:space="preserve"> </v>
      </c>
      <c r="K14" s="31" t="str">
        <f t="shared" si="2"/>
        <v xml:space="preserve"> </v>
      </c>
      <c r="L14" s="38" t="str">
        <f t="shared" si="3"/>
        <v xml:space="preserve"> </v>
      </c>
    </row>
    <row r="15" spans="1:12" ht="14.4" x14ac:dyDescent="0.3">
      <c r="A15" s="30">
        <v>6</v>
      </c>
      <c r="B15" s="20"/>
      <c r="C15" s="39"/>
      <c r="D15" s="31">
        <f>MELHORADO!K8</f>
        <v>0</v>
      </c>
      <c r="E15" s="31">
        <f>MELHORADO!R8</f>
        <v>0</v>
      </c>
      <c r="F15" s="31">
        <f t="shared" si="4"/>
        <v>0</v>
      </c>
      <c r="G15" s="31">
        <f t="shared" si="0"/>
        <v>0</v>
      </c>
      <c r="H15" s="31">
        <f t="shared" si="1"/>
        <v>0</v>
      </c>
      <c r="I15" s="37"/>
      <c r="J15" s="30" t="str">
        <f>IFERROR(VLOOKUP(I15,'BASE DE DADOS'!$A$4:$B$83,2,0)," ")</f>
        <v xml:space="preserve"> </v>
      </c>
      <c r="K15" s="31" t="str">
        <f t="shared" si="2"/>
        <v xml:space="preserve"> </v>
      </c>
      <c r="L15" s="38" t="str">
        <f t="shared" si="3"/>
        <v xml:space="preserve"> </v>
      </c>
    </row>
    <row r="16" spans="1:12" ht="14.4" x14ac:dyDescent="0.3">
      <c r="A16" s="30">
        <v>7</v>
      </c>
      <c r="B16" s="20"/>
      <c r="C16" s="39"/>
      <c r="D16" s="31">
        <f>MELHORADO!K9</f>
        <v>0</v>
      </c>
      <c r="E16" s="31">
        <f>MELHORADO!R9</f>
        <v>0</v>
      </c>
      <c r="F16" s="31">
        <f t="shared" si="4"/>
        <v>0</v>
      </c>
      <c r="G16" s="31">
        <f t="shared" si="0"/>
        <v>0</v>
      </c>
      <c r="H16" s="31">
        <f t="shared" si="1"/>
        <v>0</v>
      </c>
      <c r="I16" s="40"/>
      <c r="J16" s="30" t="str">
        <f>IFERROR(VLOOKUP(I16,'BASE DE DADOS'!$A$4:$B$83,2,0)," ")</f>
        <v xml:space="preserve"> </v>
      </c>
      <c r="K16" s="31" t="str">
        <f t="shared" si="2"/>
        <v xml:space="preserve"> </v>
      </c>
      <c r="L16" s="38" t="str">
        <f t="shared" si="3"/>
        <v xml:space="preserve"> </v>
      </c>
    </row>
    <row r="17" spans="1:12" ht="14.4" x14ac:dyDescent="0.3">
      <c r="A17" s="30">
        <v>8</v>
      </c>
      <c r="B17" s="20"/>
      <c r="C17" s="39"/>
      <c r="D17" s="31">
        <f>MELHORADO!K10</f>
        <v>0</v>
      </c>
      <c r="E17" s="31">
        <f>MELHORADO!R10</f>
        <v>0</v>
      </c>
      <c r="F17" s="31">
        <f t="shared" si="4"/>
        <v>0</v>
      </c>
      <c r="G17" s="31">
        <f t="shared" si="0"/>
        <v>0</v>
      </c>
      <c r="H17" s="31">
        <f t="shared" si="1"/>
        <v>0</v>
      </c>
      <c r="I17" s="40"/>
      <c r="J17" s="30" t="str">
        <f>IFERROR(VLOOKUP(I17,'BASE DE DADOS'!$A$4:$B$83,2,0)," ")</f>
        <v xml:space="preserve"> </v>
      </c>
      <c r="K17" s="31" t="str">
        <f t="shared" si="2"/>
        <v xml:space="preserve"> </v>
      </c>
      <c r="L17" s="38" t="str">
        <f t="shared" si="3"/>
        <v xml:space="preserve"> </v>
      </c>
    </row>
    <row r="18" spans="1:12" ht="14.4" x14ac:dyDescent="0.3">
      <c r="A18" s="30">
        <v>9</v>
      </c>
      <c r="B18" s="20"/>
      <c r="C18" s="39"/>
      <c r="D18" s="31">
        <f>MELHORADO!K11</f>
        <v>0</v>
      </c>
      <c r="E18" s="31">
        <f>MELHORADO!R11</f>
        <v>0</v>
      </c>
      <c r="F18" s="31">
        <f t="shared" si="4"/>
        <v>0</v>
      </c>
      <c r="G18" s="31">
        <f t="shared" si="0"/>
        <v>0</v>
      </c>
      <c r="H18" s="31">
        <f t="shared" si="1"/>
        <v>0</v>
      </c>
      <c r="I18" s="40"/>
      <c r="J18" s="30" t="str">
        <f>IFERROR(VLOOKUP(I18,'BASE DE DADOS'!$A$4:$B$83,2,0)," ")</f>
        <v xml:space="preserve"> </v>
      </c>
      <c r="K18" s="31" t="str">
        <f t="shared" si="2"/>
        <v xml:space="preserve"> </v>
      </c>
      <c r="L18" s="38" t="str">
        <f t="shared" si="3"/>
        <v xml:space="preserve"> </v>
      </c>
    </row>
    <row r="19" spans="1:12" ht="14.4" x14ac:dyDescent="0.3">
      <c r="A19" s="30">
        <v>10</v>
      </c>
      <c r="B19" s="20"/>
      <c r="C19" s="39"/>
      <c r="D19" s="31">
        <f>MELHORADO!K12</f>
        <v>0</v>
      </c>
      <c r="E19" s="31">
        <f>MELHORADO!R12</f>
        <v>0</v>
      </c>
      <c r="F19" s="31">
        <f t="shared" si="4"/>
        <v>0</v>
      </c>
      <c r="G19" s="31">
        <f t="shared" si="0"/>
        <v>0</v>
      </c>
      <c r="H19" s="31">
        <f t="shared" si="1"/>
        <v>0</v>
      </c>
      <c r="I19" s="40"/>
      <c r="J19" s="30" t="str">
        <f>IFERROR(VLOOKUP(I19,'BASE DE DADOS'!$A$4:$B$83,2,0)," ")</f>
        <v xml:space="preserve"> </v>
      </c>
      <c r="K19" s="31" t="str">
        <f t="shared" si="2"/>
        <v xml:space="preserve"> </v>
      </c>
      <c r="L19" s="38" t="str">
        <f t="shared" si="3"/>
        <v xml:space="preserve"> </v>
      </c>
    </row>
    <row r="20" spans="1:12" ht="14.4" x14ac:dyDescent="0.3">
      <c r="A20" s="30">
        <v>11</v>
      </c>
      <c r="B20" s="20"/>
      <c r="C20" s="39"/>
      <c r="D20" s="31">
        <f>MELHORADO!K13</f>
        <v>0</v>
      </c>
      <c r="E20" s="31">
        <f>MELHORADO!R13</f>
        <v>0</v>
      </c>
      <c r="F20" s="31">
        <f t="shared" si="4"/>
        <v>0</v>
      </c>
      <c r="G20" s="31">
        <f t="shared" si="0"/>
        <v>0</v>
      </c>
      <c r="H20" s="31">
        <f t="shared" si="1"/>
        <v>0</v>
      </c>
      <c r="I20" s="40"/>
      <c r="J20" s="30" t="str">
        <f>IFERROR(VLOOKUP(I20,'BASE DE DADOS'!$A$4:$B$83,2,0)," ")</f>
        <v xml:space="preserve"> </v>
      </c>
      <c r="K20" s="31" t="str">
        <f t="shared" si="2"/>
        <v xml:space="preserve"> </v>
      </c>
      <c r="L20" s="38" t="str">
        <f t="shared" si="3"/>
        <v xml:space="preserve"> </v>
      </c>
    </row>
    <row r="21" spans="1:12" ht="15.75" customHeight="1" x14ac:dyDescent="0.3">
      <c r="A21" s="30">
        <v>12</v>
      </c>
      <c r="B21" s="20"/>
      <c r="C21" s="39"/>
      <c r="D21" s="31">
        <f>MELHORADO!K14</f>
        <v>0</v>
      </c>
      <c r="E21" s="31">
        <f>MELHORADO!R14</f>
        <v>0</v>
      </c>
      <c r="F21" s="31">
        <f t="shared" si="4"/>
        <v>0</v>
      </c>
      <c r="G21" s="31">
        <f t="shared" si="0"/>
        <v>0</v>
      </c>
      <c r="H21" s="31">
        <f t="shared" si="1"/>
        <v>0</v>
      </c>
      <c r="I21" s="40"/>
      <c r="J21" s="30" t="str">
        <f>IFERROR(VLOOKUP(I21,'BASE DE DADOS'!$A$4:$B$83,2,0)," ")</f>
        <v xml:space="preserve"> </v>
      </c>
      <c r="K21" s="31" t="str">
        <f t="shared" si="2"/>
        <v xml:space="preserve"> </v>
      </c>
      <c r="L21" s="38" t="str">
        <f t="shared" si="3"/>
        <v xml:space="preserve"> </v>
      </c>
    </row>
    <row r="22" spans="1:12" ht="15.75" customHeight="1" x14ac:dyDescent="0.3">
      <c r="A22" s="30">
        <v>13</v>
      </c>
      <c r="B22" s="20"/>
      <c r="C22" s="39"/>
      <c r="D22" s="31">
        <f>MELHORADO!K15</f>
        <v>0</v>
      </c>
      <c r="E22" s="31">
        <f>MELHORADO!R15</f>
        <v>0</v>
      </c>
      <c r="F22" s="31">
        <f t="shared" si="4"/>
        <v>0</v>
      </c>
      <c r="G22" s="31">
        <f t="shared" si="0"/>
        <v>0</v>
      </c>
      <c r="H22" s="31">
        <f t="shared" si="1"/>
        <v>0</v>
      </c>
      <c r="I22" s="40"/>
      <c r="J22" s="30" t="str">
        <f>IFERROR(VLOOKUP(I22,'BASE DE DADOS'!$A$4:$B$83,2,0)," ")</f>
        <v xml:space="preserve"> </v>
      </c>
      <c r="K22" s="31" t="str">
        <f t="shared" si="2"/>
        <v xml:space="preserve"> </v>
      </c>
      <c r="L22" s="38" t="str">
        <f t="shared" si="3"/>
        <v xml:space="preserve"> </v>
      </c>
    </row>
    <row r="23" spans="1:12" ht="15.75" customHeight="1" x14ac:dyDescent="0.3">
      <c r="A23" s="30">
        <v>14</v>
      </c>
      <c r="B23" s="20"/>
      <c r="C23" s="39"/>
      <c r="D23" s="31">
        <f>MELHORADO!K16</f>
        <v>0</v>
      </c>
      <c r="E23" s="31">
        <f>MELHORADO!R16</f>
        <v>0</v>
      </c>
      <c r="F23" s="31">
        <f t="shared" si="4"/>
        <v>0</v>
      </c>
      <c r="G23" s="31">
        <f t="shared" si="0"/>
        <v>0</v>
      </c>
      <c r="H23" s="31">
        <f t="shared" si="1"/>
        <v>0</v>
      </c>
      <c r="I23" s="40"/>
      <c r="J23" s="30" t="str">
        <f>IFERROR(VLOOKUP(I23,'BASE DE DADOS'!$A$4:$B$83,2,0)," ")</f>
        <v xml:space="preserve"> </v>
      </c>
      <c r="K23" s="31" t="str">
        <f t="shared" si="2"/>
        <v xml:space="preserve"> </v>
      </c>
      <c r="L23" s="38" t="str">
        <f t="shared" si="3"/>
        <v xml:space="preserve"> </v>
      </c>
    </row>
    <row r="24" spans="1:12" ht="15.75" customHeight="1" x14ac:dyDescent="0.3">
      <c r="A24" s="30">
        <v>15</v>
      </c>
      <c r="B24" s="20"/>
      <c r="C24" s="39"/>
      <c r="D24" s="31">
        <f>MELHORADO!K17</f>
        <v>0</v>
      </c>
      <c r="E24" s="31">
        <f>MELHORADO!R17</f>
        <v>0</v>
      </c>
      <c r="F24" s="31">
        <f t="shared" si="4"/>
        <v>0</v>
      </c>
      <c r="G24" s="31">
        <f t="shared" si="0"/>
        <v>0</v>
      </c>
      <c r="H24" s="31">
        <f t="shared" si="1"/>
        <v>0</v>
      </c>
      <c r="I24" s="40"/>
      <c r="J24" s="30" t="str">
        <f>IFERROR(VLOOKUP(I24,'BASE DE DADOS'!$A$4:$B$83,2,0)," ")</f>
        <v xml:space="preserve"> </v>
      </c>
      <c r="K24" s="31" t="str">
        <f t="shared" si="2"/>
        <v xml:space="preserve"> </v>
      </c>
      <c r="L24" s="38" t="str">
        <f t="shared" si="3"/>
        <v xml:space="preserve"> </v>
      </c>
    </row>
    <row r="25" spans="1:12" ht="15.75" customHeight="1" x14ac:dyDescent="0.3">
      <c r="A25" s="30">
        <v>16</v>
      </c>
      <c r="B25" s="20"/>
      <c r="C25" s="39"/>
      <c r="D25" s="31">
        <f>MELHORADO!K18</f>
        <v>0</v>
      </c>
      <c r="E25" s="31">
        <f>MELHORADO!R18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40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8" t="str">
        <f t="shared" si="3"/>
        <v xml:space="preserve"> </v>
      </c>
    </row>
    <row r="26" spans="1:12" ht="15.75" customHeight="1" x14ac:dyDescent="0.3">
      <c r="A26" s="30">
        <v>17</v>
      </c>
      <c r="B26" s="20"/>
      <c r="C26" s="39"/>
      <c r="D26" s="31">
        <f>MELHORADO!K19</f>
        <v>0</v>
      </c>
      <c r="E26" s="31">
        <f>MELHORADO!R19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40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8" t="str">
        <f t="shared" si="3"/>
        <v xml:space="preserve"> </v>
      </c>
    </row>
    <row r="27" spans="1:12" ht="15.75" customHeight="1" x14ac:dyDescent="0.3">
      <c r="A27" s="30">
        <v>18</v>
      </c>
      <c r="B27" s="20"/>
      <c r="C27" s="39"/>
      <c r="D27" s="31">
        <f>MELHORADO!K20</f>
        <v>0</v>
      </c>
      <c r="E27" s="31">
        <f>MELHORADO!R20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40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8" t="str">
        <f t="shared" si="3"/>
        <v xml:space="preserve"> </v>
      </c>
    </row>
    <row r="28" spans="1:12" ht="15.75" customHeight="1" x14ac:dyDescent="0.3">
      <c r="A28" s="30">
        <v>19</v>
      </c>
      <c r="B28" s="20"/>
      <c r="C28" s="39"/>
      <c r="D28" s="31">
        <f>MELHORADO!K21</f>
        <v>0</v>
      </c>
      <c r="E28" s="31">
        <f>MELHORADO!R21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40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8" t="str">
        <f t="shared" si="3"/>
        <v xml:space="preserve"> </v>
      </c>
    </row>
    <row r="29" spans="1:12" ht="15.75" customHeight="1" x14ac:dyDescent="0.3">
      <c r="A29" s="30">
        <v>20</v>
      </c>
      <c r="B29" s="20"/>
      <c r="C29" s="39"/>
      <c r="D29" s="31">
        <f>MELHORADO!K22</f>
        <v>0</v>
      </c>
      <c r="E29" s="31">
        <f>MELHORADO!R22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40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8" t="str">
        <f t="shared" si="3"/>
        <v xml:space="preserve"> </v>
      </c>
    </row>
    <row r="30" spans="1:12" ht="15.75" customHeight="1" x14ac:dyDescent="0.3">
      <c r="A30" s="30">
        <v>21</v>
      </c>
      <c r="B30" s="20"/>
      <c r="C30" s="39"/>
      <c r="D30" s="31">
        <f>MELHORADO!K23</f>
        <v>0</v>
      </c>
      <c r="E30" s="31">
        <f>MELHORADO!R23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40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8" t="str">
        <f t="shared" si="3"/>
        <v xml:space="preserve"> </v>
      </c>
    </row>
    <row r="31" spans="1:12" ht="15.75" customHeight="1" x14ac:dyDescent="0.3">
      <c r="A31" s="30">
        <v>22</v>
      </c>
      <c r="B31" s="20"/>
      <c r="C31" s="39"/>
      <c r="D31" s="31">
        <f>MELHORADO!K24</f>
        <v>0</v>
      </c>
      <c r="E31" s="31">
        <f>MELHORADO!R24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40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8" t="str">
        <f t="shared" si="3"/>
        <v xml:space="preserve"> </v>
      </c>
    </row>
    <row r="32" spans="1:12" ht="15.75" customHeight="1" x14ac:dyDescent="0.3">
      <c r="A32" s="30">
        <v>23</v>
      </c>
      <c r="B32" s="20"/>
      <c r="C32" s="39"/>
      <c r="D32" s="31">
        <f>MELHORADO!K25</f>
        <v>0</v>
      </c>
      <c r="E32" s="31">
        <f>MELHORADO!R25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40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8" t="str">
        <f t="shared" si="3"/>
        <v xml:space="preserve"> </v>
      </c>
    </row>
    <row r="33" spans="1:12" ht="15.75" customHeight="1" x14ac:dyDescent="0.3">
      <c r="A33" s="30">
        <v>24</v>
      </c>
      <c r="B33" s="20"/>
      <c r="C33" s="39"/>
      <c r="D33" s="31">
        <f>MELHORADO!K26</f>
        <v>0</v>
      </c>
      <c r="E33" s="31">
        <f>MELHORADO!R26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40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8" t="str">
        <f t="shared" si="3"/>
        <v xml:space="preserve"> </v>
      </c>
    </row>
    <row r="34" spans="1:12" ht="15.75" customHeight="1" x14ac:dyDescent="0.3">
      <c r="A34" s="30">
        <v>25</v>
      </c>
      <c r="B34" s="20"/>
      <c r="C34" s="39"/>
      <c r="D34" s="31">
        <f>MELHORADO!K27</f>
        <v>0</v>
      </c>
      <c r="E34" s="31">
        <f>MELHORADO!R27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40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8" t="str">
        <f t="shared" si="3"/>
        <v xml:space="preserve"> </v>
      </c>
    </row>
    <row r="35" spans="1:12" ht="15.75" customHeight="1" x14ac:dyDescent="0.3">
      <c r="A35" s="30">
        <v>26</v>
      </c>
      <c r="B35" s="20"/>
      <c r="C35" s="39"/>
      <c r="D35" s="31">
        <f>MELHORADO!K28</f>
        <v>0</v>
      </c>
      <c r="E35" s="31">
        <f>MELHORADO!R28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40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8" t="str">
        <f t="shared" si="3"/>
        <v xml:space="preserve"> </v>
      </c>
    </row>
    <row r="36" spans="1:12" ht="15.75" customHeight="1" x14ac:dyDescent="0.3">
      <c r="A36" s="30">
        <v>27</v>
      </c>
      <c r="B36" s="20"/>
      <c r="C36" s="39"/>
      <c r="D36" s="31">
        <f>MELHORADO!K29</f>
        <v>0</v>
      </c>
      <c r="E36" s="31">
        <f>MELHORADO!R29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40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8" t="str">
        <f t="shared" si="3"/>
        <v xml:space="preserve"> </v>
      </c>
    </row>
    <row r="37" spans="1:12" ht="15.75" customHeight="1" x14ac:dyDescent="0.3">
      <c r="A37" s="30">
        <v>28</v>
      </c>
      <c r="B37" s="20"/>
      <c r="C37" s="39"/>
      <c r="D37" s="31">
        <f>MELHORADO!K30</f>
        <v>0</v>
      </c>
      <c r="E37" s="31">
        <f>MELHORADO!R30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40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8" t="str">
        <f t="shared" si="3"/>
        <v xml:space="preserve"> </v>
      </c>
    </row>
    <row r="38" spans="1:12" ht="15.75" customHeight="1" x14ac:dyDescent="0.3">
      <c r="A38" s="30">
        <v>29</v>
      </c>
      <c r="B38" s="20"/>
      <c r="C38" s="39"/>
      <c r="D38" s="31">
        <f>MELHORADO!K31</f>
        <v>0</v>
      </c>
      <c r="E38" s="31">
        <f>MELHORADO!R31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40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8" t="str">
        <f t="shared" si="3"/>
        <v xml:space="preserve"> </v>
      </c>
    </row>
    <row r="39" spans="1:12" ht="15.75" customHeight="1" x14ac:dyDescent="0.3">
      <c r="A39" s="30">
        <v>30</v>
      </c>
      <c r="B39" s="20"/>
      <c r="C39" s="39"/>
      <c r="D39" s="31">
        <f>MELHORADO!K32</f>
        <v>0</v>
      </c>
      <c r="E39" s="31">
        <f>MELHORADO!R32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40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8" t="str">
        <f t="shared" si="3"/>
        <v xml:space="preserve"> </v>
      </c>
    </row>
    <row r="40" spans="1:12" ht="15.75" customHeight="1" x14ac:dyDescent="0.3">
      <c r="A40" s="30">
        <v>31</v>
      </c>
      <c r="B40" s="20"/>
      <c r="C40" s="39"/>
      <c r="D40" s="31">
        <f>MELHORADO!K33</f>
        <v>0</v>
      </c>
      <c r="E40" s="31">
        <f>MELHORADO!R33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40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8" t="str">
        <f t="shared" si="3"/>
        <v xml:space="preserve"> </v>
      </c>
    </row>
    <row r="41" spans="1:12" ht="15.75" customHeight="1" x14ac:dyDescent="0.3">
      <c r="A41" s="30">
        <v>32</v>
      </c>
      <c r="B41" s="20"/>
      <c r="C41" s="39"/>
      <c r="D41" s="31">
        <f>MELHORADO!K34</f>
        <v>0</v>
      </c>
      <c r="E41" s="31">
        <f>MELHORADO!R34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40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8" t="str">
        <f t="shared" si="3"/>
        <v xml:space="preserve"> </v>
      </c>
    </row>
    <row r="42" spans="1:12" ht="15.75" customHeight="1" x14ac:dyDescent="0.3">
      <c r="A42" s="30">
        <v>33</v>
      </c>
      <c r="B42" s="20"/>
      <c r="C42" s="39"/>
      <c r="D42" s="31">
        <f>MELHORADO!K35</f>
        <v>0</v>
      </c>
      <c r="E42" s="31">
        <f>MELHORADO!R35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40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8" t="str">
        <f t="shared" si="3"/>
        <v xml:space="preserve"> </v>
      </c>
    </row>
    <row r="43" spans="1:12" ht="15.75" customHeight="1" x14ac:dyDescent="0.3">
      <c r="A43" s="30">
        <v>34</v>
      </c>
      <c r="B43" s="20"/>
      <c r="C43" s="39"/>
      <c r="D43" s="31">
        <f>MELHORADO!K36</f>
        <v>0</v>
      </c>
      <c r="E43" s="31">
        <f>MELHORADO!R36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40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8" t="str">
        <f t="shared" si="3"/>
        <v xml:space="preserve"> </v>
      </c>
    </row>
    <row r="44" spans="1:12" ht="15.75" customHeight="1" x14ac:dyDescent="0.3">
      <c r="A44" s="30">
        <v>35</v>
      </c>
      <c r="B44" s="20"/>
      <c r="C44" s="39"/>
      <c r="D44" s="31">
        <f>MELHORADO!K37</f>
        <v>0</v>
      </c>
      <c r="E44" s="31">
        <f>MELHORADO!R37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40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8" t="str">
        <f t="shared" si="3"/>
        <v xml:space="preserve"> </v>
      </c>
    </row>
    <row r="45" spans="1:12" ht="15.75" customHeight="1" x14ac:dyDescent="0.3">
      <c r="A45" s="30">
        <v>36</v>
      </c>
      <c r="B45" s="20"/>
      <c r="C45" s="39"/>
      <c r="D45" s="31">
        <f>MELHORADO!K38</f>
        <v>0</v>
      </c>
      <c r="E45" s="31">
        <f>MELHORADO!R38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40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8" t="str">
        <f t="shared" si="3"/>
        <v xml:space="preserve"> </v>
      </c>
    </row>
    <row r="46" spans="1:12" ht="15.75" customHeight="1" x14ac:dyDescent="0.3">
      <c r="A46" s="30">
        <v>37</v>
      </c>
      <c r="B46" s="20"/>
      <c r="C46" s="39"/>
      <c r="D46" s="31">
        <f>MELHORADO!K39</f>
        <v>0</v>
      </c>
      <c r="E46" s="31">
        <f>MELHORADO!R39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40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8" t="str">
        <f t="shared" si="3"/>
        <v xml:space="preserve"> </v>
      </c>
    </row>
    <row r="47" spans="1:12" ht="15.75" customHeight="1" x14ac:dyDescent="0.3">
      <c r="A47" s="30">
        <v>38</v>
      </c>
      <c r="B47" s="20"/>
      <c r="C47" s="39"/>
      <c r="D47" s="31">
        <f>MELHORADO!K40</f>
        <v>0</v>
      </c>
      <c r="E47" s="31">
        <f>MELHORADO!R40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40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8" t="str">
        <f t="shared" si="3"/>
        <v xml:space="preserve"> </v>
      </c>
    </row>
    <row r="48" spans="1:12" ht="15.75" customHeight="1" x14ac:dyDescent="0.3">
      <c r="A48" s="30">
        <v>39</v>
      </c>
      <c r="B48" s="20"/>
      <c r="C48" s="39"/>
      <c r="D48" s="31">
        <f>MELHORADO!K41</f>
        <v>0</v>
      </c>
      <c r="E48" s="31">
        <f>MELHORADO!R41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40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8" t="str">
        <f t="shared" si="3"/>
        <v xml:space="preserve"> </v>
      </c>
    </row>
    <row r="49" spans="1:12" ht="15.75" customHeight="1" x14ac:dyDescent="0.3">
      <c r="A49" s="30">
        <v>40</v>
      </c>
      <c r="B49" s="20"/>
      <c r="C49" s="39"/>
      <c r="D49" s="31">
        <f>MELHORADO!K42</f>
        <v>0</v>
      </c>
      <c r="E49" s="31">
        <f>MELHORADO!R42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40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8" t="str">
        <f t="shared" si="3"/>
        <v xml:space="preserve"> </v>
      </c>
    </row>
    <row r="50" spans="1:12" ht="15.75" customHeight="1" x14ac:dyDescent="0.3">
      <c r="A50" s="30">
        <v>41</v>
      </c>
      <c r="B50" s="20"/>
      <c r="C50" s="39"/>
      <c r="D50" s="31">
        <f>MELHORADO!K43</f>
        <v>0</v>
      </c>
      <c r="E50" s="31">
        <f>MELHORADO!R43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40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8" t="str">
        <f t="shared" si="3"/>
        <v xml:space="preserve"> </v>
      </c>
    </row>
    <row r="51" spans="1:12" ht="15.75" customHeight="1" x14ac:dyDescent="0.3">
      <c r="A51" s="30">
        <v>42</v>
      </c>
      <c r="B51" s="20"/>
      <c r="C51" s="39"/>
      <c r="D51" s="31">
        <f>MELHORADO!K44</f>
        <v>0</v>
      </c>
      <c r="E51" s="31">
        <f>MELHORADO!R44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40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8" t="str">
        <f t="shared" si="3"/>
        <v xml:space="preserve"> </v>
      </c>
    </row>
    <row r="52" spans="1:12" ht="15.75" customHeight="1" x14ac:dyDescent="0.3">
      <c r="A52" s="30">
        <v>43</v>
      </c>
      <c r="B52" s="20"/>
      <c r="C52" s="39"/>
      <c r="D52" s="31">
        <f>MELHORADO!K45</f>
        <v>0</v>
      </c>
      <c r="E52" s="31">
        <f>MELHORADO!R45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40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8" t="str">
        <f t="shared" si="3"/>
        <v xml:space="preserve"> </v>
      </c>
    </row>
    <row r="53" spans="1:12" ht="15.75" customHeight="1" x14ac:dyDescent="0.3">
      <c r="A53" s="30">
        <v>44</v>
      </c>
      <c r="B53" s="20"/>
      <c r="C53" s="39"/>
      <c r="D53" s="31">
        <f>MELHORADO!K46</f>
        <v>0</v>
      </c>
      <c r="E53" s="31">
        <f>MELHORADO!R46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40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8" t="str">
        <f t="shared" si="3"/>
        <v xml:space="preserve"> </v>
      </c>
    </row>
    <row r="54" spans="1:12" ht="15.75" customHeight="1" x14ac:dyDescent="0.3">
      <c r="A54" s="30">
        <v>45</v>
      </c>
      <c r="B54" s="20"/>
      <c r="C54" s="39"/>
      <c r="D54" s="31">
        <f>MELHORADO!K47</f>
        <v>0</v>
      </c>
      <c r="E54" s="31">
        <f>MELHORADO!R47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40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8" t="str">
        <f t="shared" si="3"/>
        <v xml:space="preserve"> </v>
      </c>
    </row>
    <row r="55" spans="1:12" ht="15.75" customHeight="1" x14ac:dyDescent="0.3">
      <c r="A55" s="30">
        <v>46</v>
      </c>
      <c r="B55" s="20"/>
      <c r="C55" s="39"/>
      <c r="D55" s="31">
        <f>MELHORADO!K48</f>
        <v>0</v>
      </c>
      <c r="E55" s="31">
        <f>MELHORADO!R48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40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8" t="str">
        <f t="shared" si="3"/>
        <v xml:space="preserve"> </v>
      </c>
    </row>
    <row r="56" spans="1:12" ht="15.75" customHeight="1" x14ac:dyDescent="0.3">
      <c r="A56" s="30">
        <v>47</v>
      </c>
      <c r="B56" s="20"/>
      <c r="C56" s="39"/>
      <c r="D56" s="31">
        <f>MELHORADO!K49</f>
        <v>0</v>
      </c>
      <c r="E56" s="31">
        <f>MELHORADO!R49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40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8" t="str">
        <f t="shared" si="3"/>
        <v xml:space="preserve"> </v>
      </c>
    </row>
    <row r="57" spans="1:12" ht="15.75" customHeight="1" x14ac:dyDescent="0.3">
      <c r="A57" s="30">
        <v>48</v>
      </c>
      <c r="B57" s="19"/>
      <c r="C57" s="41"/>
      <c r="D57" s="31">
        <f>MELHORADO!K50</f>
        <v>0</v>
      </c>
      <c r="E57" s="31">
        <f>MELHORADO!R50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8" t="str">
        <f t="shared" si="3"/>
        <v xml:space="preserve"> </v>
      </c>
    </row>
    <row r="58" spans="1:12" ht="15.75" customHeight="1" x14ac:dyDescent="0.3">
      <c r="A58" s="30">
        <v>49</v>
      </c>
      <c r="B58" s="19"/>
      <c r="C58" s="41"/>
      <c r="D58" s="31">
        <f>MELHORADO!K51</f>
        <v>0</v>
      </c>
      <c r="E58" s="31">
        <f>MELHORADO!R51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8" t="str">
        <f t="shared" si="3"/>
        <v xml:space="preserve"> </v>
      </c>
    </row>
    <row r="59" spans="1:12" ht="15.75" customHeight="1" x14ac:dyDescent="0.3">
      <c r="A59" s="30">
        <v>50</v>
      </c>
      <c r="B59" s="19"/>
      <c r="C59" s="41"/>
      <c r="D59" s="31">
        <f>MELHORADO!K52</f>
        <v>0</v>
      </c>
      <c r="E59" s="31">
        <f>MELHORADO!R52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8" t="str">
        <f t="shared" si="3"/>
        <v xml:space="preserve"> </v>
      </c>
    </row>
    <row r="60" spans="1:12" ht="15.75" customHeight="1" x14ac:dyDescent="0.3">
      <c r="A60" s="30">
        <v>51</v>
      </c>
      <c r="B60" s="19"/>
      <c r="C60" s="41"/>
      <c r="D60" s="31">
        <f>MELHORADO!K53</f>
        <v>0</v>
      </c>
      <c r="E60" s="31">
        <f>MELHORADO!R53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8" t="str">
        <f t="shared" si="3"/>
        <v xml:space="preserve"> </v>
      </c>
    </row>
    <row r="61" spans="1:12" ht="15.75" customHeight="1" x14ac:dyDescent="0.3">
      <c r="A61" s="30">
        <v>52</v>
      </c>
      <c r="B61" s="19"/>
      <c r="C61" s="41"/>
      <c r="D61" s="31">
        <f>MELHORADO!K54</f>
        <v>0</v>
      </c>
      <c r="E61" s="31">
        <f>MELHORADO!R54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8" t="str">
        <f t="shared" si="3"/>
        <v xml:space="preserve"> </v>
      </c>
    </row>
    <row r="62" spans="1:12" ht="15.75" customHeight="1" x14ac:dyDescent="0.3">
      <c r="A62" s="30">
        <v>53</v>
      </c>
      <c r="B62" s="19"/>
      <c r="C62" s="41"/>
      <c r="D62" s="31">
        <f>MELHORADO!K55</f>
        <v>0</v>
      </c>
      <c r="E62" s="31">
        <f>MELHORADO!R55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8" t="str">
        <f t="shared" si="3"/>
        <v xml:space="preserve"> </v>
      </c>
    </row>
    <row r="63" spans="1:12" ht="15.75" customHeight="1" x14ac:dyDescent="0.3">
      <c r="A63" s="30">
        <v>54</v>
      </c>
      <c r="B63" s="19"/>
      <c r="C63" s="41"/>
      <c r="D63" s="31">
        <f>MELHORADO!K56</f>
        <v>0</v>
      </c>
      <c r="E63" s="31">
        <f>MELHORADO!R56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8" t="str">
        <f t="shared" si="3"/>
        <v xml:space="preserve"> </v>
      </c>
    </row>
    <row r="64" spans="1:12" ht="15.75" customHeight="1" x14ac:dyDescent="0.3">
      <c r="A64" s="30">
        <v>55</v>
      </c>
      <c r="B64" s="19"/>
      <c r="C64" s="41"/>
      <c r="D64" s="31">
        <f>MELHORADO!K57</f>
        <v>0</v>
      </c>
      <c r="E64" s="31">
        <f>MELHORADO!R57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8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I7:I8"/>
    <mergeCell ref="J7:L7"/>
    <mergeCell ref="B8:B9"/>
    <mergeCell ref="D8:F8"/>
    <mergeCell ref="D9:F9"/>
    <mergeCell ref="G1:G2"/>
    <mergeCell ref="D3:E3"/>
    <mergeCell ref="D4:E4"/>
    <mergeCell ref="D5:E5"/>
    <mergeCell ref="A7:C7"/>
    <mergeCell ref="D7:H7"/>
  </mergeCells>
  <conditionalFormatting sqref="G3">
    <cfRule type="cellIs" dxfId="2" priority="2" operator="greaterThan">
      <formula>1</formula>
    </cfRule>
    <cfRule type="cellIs" dxfId="1" priority="3" operator="lessThan">
      <formula>1</formula>
    </cfRule>
  </conditionalFormatting>
  <conditionalFormatting sqref="K11:L64">
    <cfRule type="cellIs" dxfId="0" priority="1" operator="greaterThan">
      <formula>6</formula>
    </cfRule>
  </conditionalFormatting>
  <pageMargins left="0.25" right="0.25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D8853557-CABB-4105-A085-55246CA4C510}">
          <x14:formula1>
            <xm:f>'BASE DE DADOS'!$A$4:$A$83</xm:f>
          </x14:formula1>
          <xm:sqref>I11:I64</xm:sqref>
        </x14:dataValidation>
        <x14:dataValidation type="list" allowBlank="1" showErrorMessage="1" xr:uid="{60AA2470-3BB0-4982-AF7A-DE5D818B35B6}">
          <x14:formula1>
            <xm:f>'BASE DE DADOS'!$T$2:$T$56</xm:f>
          </x14:formula1>
          <xm:sqref>B11:B64</xm:sqref>
        </x14:dataValidation>
        <x14:dataValidation type="list" allowBlank="1" showErrorMessage="1" xr:uid="{33E48B97-E5D5-4A38-B09B-D3352605CB93}">
          <x14:formula1>
            <xm:f>'BASE DE DADOS'!$P$2:$P$122</xm:f>
          </x14:formula1>
          <xm:sqref>B3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00"/>
  <sheetViews>
    <sheetView workbookViewId="0"/>
  </sheetViews>
  <sheetFormatPr defaultColWidth="14.44140625" defaultRowHeight="15" customHeight="1" x14ac:dyDescent="0.3"/>
  <cols>
    <col min="1" max="1" width="21.88671875" customWidth="1"/>
    <col min="2" max="2" width="13" customWidth="1"/>
    <col min="3" max="3" width="8.5546875" customWidth="1"/>
    <col min="4" max="4" width="8.6640625" customWidth="1"/>
    <col min="5" max="14" width="5.5546875" customWidth="1"/>
    <col min="15" max="15" width="6.109375" customWidth="1"/>
    <col min="16" max="16" width="33" customWidth="1"/>
    <col min="17" max="17" width="21" customWidth="1"/>
    <col min="18" max="18" width="19.44140625" customWidth="1"/>
    <col min="19" max="20" width="8.5546875" customWidth="1"/>
    <col min="21" max="72" width="8.6640625" customWidth="1"/>
  </cols>
  <sheetData>
    <row r="1" spans="1:20" ht="48" customHeight="1" x14ac:dyDescent="0.3">
      <c r="A1" s="99" t="s">
        <v>59</v>
      </c>
      <c r="B1" s="96"/>
      <c r="D1" s="98" t="s">
        <v>60</v>
      </c>
      <c r="E1" s="94" t="s">
        <v>61</v>
      </c>
      <c r="F1" s="95"/>
      <c r="G1" s="95"/>
      <c r="H1" s="95"/>
      <c r="I1" s="95"/>
      <c r="J1" s="95"/>
      <c r="K1" s="95"/>
      <c r="L1" s="95"/>
      <c r="M1" s="95"/>
      <c r="N1" s="96"/>
      <c r="P1" s="32" t="s">
        <v>28</v>
      </c>
      <c r="Q1" s="32" t="s">
        <v>62</v>
      </c>
      <c r="R1" s="33" t="s">
        <v>63</v>
      </c>
      <c r="T1" s="32" t="s">
        <v>35</v>
      </c>
    </row>
    <row r="2" spans="1:20" ht="14.4" x14ac:dyDescent="0.3">
      <c r="A2" s="93" t="s">
        <v>64</v>
      </c>
      <c r="B2" s="93" t="s">
        <v>65</v>
      </c>
      <c r="D2" s="103"/>
      <c r="E2" s="97" t="s">
        <v>31</v>
      </c>
      <c r="F2" s="95"/>
      <c r="G2" s="95"/>
      <c r="H2" s="95"/>
      <c r="I2" s="95"/>
      <c r="J2" s="95"/>
      <c r="K2" s="95"/>
      <c r="L2" s="95"/>
      <c r="M2" s="95"/>
      <c r="N2" s="96"/>
      <c r="P2" s="26" t="s">
        <v>66</v>
      </c>
      <c r="Q2" s="44">
        <v>0.02</v>
      </c>
      <c r="R2" s="25">
        <v>1.1040000000000001</v>
      </c>
      <c r="T2" s="26" t="s">
        <v>23</v>
      </c>
    </row>
    <row r="3" spans="1:20" ht="14.4" x14ac:dyDescent="0.3">
      <c r="A3" s="78"/>
      <c r="B3" s="78"/>
      <c r="D3" s="78"/>
      <c r="E3" s="45">
        <v>0.01</v>
      </c>
      <c r="F3" s="45">
        <v>0.02</v>
      </c>
      <c r="G3" s="45">
        <v>0.03</v>
      </c>
      <c r="H3" s="45">
        <v>0.04</v>
      </c>
      <c r="I3" s="45">
        <v>0.05</v>
      </c>
      <c r="J3" s="45">
        <v>0.06</v>
      </c>
      <c r="K3" s="45">
        <v>0.08</v>
      </c>
      <c r="L3" s="45">
        <v>0.1</v>
      </c>
      <c r="M3" s="45">
        <v>0.12</v>
      </c>
      <c r="N3" s="45">
        <v>0.15</v>
      </c>
      <c r="P3" s="26" t="s">
        <v>67</v>
      </c>
      <c r="Q3" s="44">
        <v>0.04</v>
      </c>
      <c r="R3" s="25">
        <v>1.2170000000000001</v>
      </c>
      <c r="T3" s="26">
        <v>2</v>
      </c>
    </row>
    <row r="4" spans="1:20" ht="14.4" x14ac:dyDescent="0.3">
      <c r="A4" s="25" t="s">
        <v>68</v>
      </c>
      <c r="B4" s="25">
        <v>5.7299999999999997E-2</v>
      </c>
      <c r="D4" s="23">
        <v>5</v>
      </c>
      <c r="E4" s="46">
        <v>1.0509999999999999</v>
      </c>
      <c r="F4" s="46">
        <v>1.1040000000000001</v>
      </c>
      <c r="G4" s="46">
        <v>1.159</v>
      </c>
      <c r="H4" s="46">
        <v>1.2170000000000001</v>
      </c>
      <c r="I4" s="46">
        <v>1.276</v>
      </c>
      <c r="J4" s="46">
        <v>1.3380000000000001</v>
      </c>
      <c r="K4" s="46">
        <v>1.4690000000000001</v>
      </c>
      <c r="L4" s="46">
        <v>1.611</v>
      </c>
      <c r="M4" s="46">
        <v>1.762</v>
      </c>
      <c r="N4" s="46">
        <v>2.0110000000000001</v>
      </c>
      <c r="P4" s="26" t="s">
        <v>69</v>
      </c>
      <c r="Q4" s="44">
        <v>0.02</v>
      </c>
      <c r="R4" s="25">
        <v>1.1040000000000001</v>
      </c>
      <c r="T4" s="26">
        <v>3</v>
      </c>
    </row>
    <row r="5" spans="1:20" ht="14.4" x14ac:dyDescent="0.3">
      <c r="A5" s="25" t="s">
        <v>70</v>
      </c>
      <c r="B5" s="25">
        <v>8.9099999999999999E-2</v>
      </c>
      <c r="P5" s="26" t="s">
        <v>71</v>
      </c>
      <c r="Q5" s="44">
        <v>0.03</v>
      </c>
      <c r="R5" s="25">
        <v>1.159</v>
      </c>
      <c r="T5" s="26">
        <v>4</v>
      </c>
    </row>
    <row r="6" spans="1:20" ht="14.4" x14ac:dyDescent="0.3">
      <c r="A6" s="25" t="s">
        <v>72</v>
      </c>
      <c r="B6" s="25">
        <v>0.1784</v>
      </c>
      <c r="P6" s="26" t="s">
        <v>73</v>
      </c>
      <c r="Q6" s="44">
        <v>3.5000000000000003E-2</v>
      </c>
      <c r="R6" s="25">
        <v>1.2170000000000001</v>
      </c>
      <c r="T6" s="26">
        <v>5</v>
      </c>
    </row>
    <row r="7" spans="1:20" ht="14.4" x14ac:dyDescent="0.3">
      <c r="A7" s="25" t="s">
        <v>74</v>
      </c>
      <c r="B7" s="25">
        <v>0.1784</v>
      </c>
      <c r="P7" s="26" t="s">
        <v>75</v>
      </c>
      <c r="Q7" s="44">
        <v>0.02</v>
      </c>
      <c r="R7" s="25">
        <v>1.1040000000000001</v>
      </c>
      <c r="T7" s="26">
        <v>6</v>
      </c>
    </row>
    <row r="8" spans="1:20" ht="14.4" x14ac:dyDescent="0.3">
      <c r="A8" s="25" t="s">
        <v>76</v>
      </c>
      <c r="B8" s="25">
        <v>0.24160000000000001</v>
      </c>
      <c r="P8" s="26" t="s">
        <v>77</v>
      </c>
      <c r="Q8" s="44">
        <v>0.03</v>
      </c>
      <c r="R8" s="25">
        <v>1.159</v>
      </c>
      <c r="T8" s="26">
        <v>7</v>
      </c>
    </row>
    <row r="9" spans="1:20" ht="14.4" x14ac:dyDescent="0.3">
      <c r="A9" s="25" t="s">
        <v>78</v>
      </c>
      <c r="B9" s="47">
        <v>0.23</v>
      </c>
      <c r="P9" s="26" t="s">
        <v>79</v>
      </c>
      <c r="Q9" s="44">
        <v>0.04</v>
      </c>
      <c r="R9" s="25">
        <v>1.2170000000000001</v>
      </c>
      <c r="T9" s="26">
        <v>8</v>
      </c>
    </row>
    <row r="10" spans="1:20" ht="14.4" x14ac:dyDescent="0.3">
      <c r="A10" s="25" t="s">
        <v>80</v>
      </c>
      <c r="B10" s="47">
        <v>0.23</v>
      </c>
      <c r="P10" s="26" t="s">
        <v>81</v>
      </c>
      <c r="Q10" s="44">
        <v>0.04</v>
      </c>
      <c r="R10" s="25">
        <v>1.2170000000000001</v>
      </c>
      <c r="T10" s="26">
        <v>9</v>
      </c>
    </row>
    <row r="11" spans="1:20" ht="14.4" x14ac:dyDescent="0.3">
      <c r="A11" s="25" t="s">
        <v>82</v>
      </c>
      <c r="B11" s="47">
        <v>0.11749999999999999</v>
      </c>
      <c r="P11" s="26" t="s">
        <v>83</v>
      </c>
      <c r="Q11" s="44">
        <v>3.5000000000000003E-2</v>
      </c>
      <c r="R11" s="25">
        <v>1.2170000000000001</v>
      </c>
      <c r="T11" s="26">
        <v>10</v>
      </c>
    </row>
    <row r="12" spans="1:20" ht="14.4" x14ac:dyDescent="0.3">
      <c r="A12" s="25" t="s">
        <v>84</v>
      </c>
      <c r="B12" s="47">
        <v>8.5000000000000006E-2</v>
      </c>
      <c r="P12" s="26" t="s">
        <v>85</v>
      </c>
      <c r="Q12" s="44">
        <v>3.5000000000000003E-2</v>
      </c>
      <c r="R12" s="25">
        <v>1.2170000000000001</v>
      </c>
      <c r="T12" s="26">
        <v>11</v>
      </c>
    </row>
    <row r="13" spans="1:20" ht="14.4" x14ac:dyDescent="0.3">
      <c r="A13" s="25" t="s">
        <v>86</v>
      </c>
      <c r="B13" s="47">
        <v>8.5000000000000006E-2</v>
      </c>
      <c r="P13" s="26" t="s">
        <v>87</v>
      </c>
      <c r="Q13" s="44">
        <v>0.02</v>
      </c>
      <c r="R13" s="25">
        <v>1.1040000000000001</v>
      </c>
      <c r="T13" s="26">
        <v>12</v>
      </c>
    </row>
    <row r="14" spans="1:20" ht="14.4" x14ac:dyDescent="0.3">
      <c r="A14" s="25" t="s">
        <v>88</v>
      </c>
      <c r="B14" s="47">
        <v>6.7299999999999999E-2</v>
      </c>
      <c r="P14" s="26" t="s">
        <v>89</v>
      </c>
      <c r="Q14" s="44">
        <v>0.04</v>
      </c>
      <c r="R14" s="25">
        <v>1.2170000000000001</v>
      </c>
      <c r="T14" s="26">
        <v>13</v>
      </c>
    </row>
    <row r="15" spans="1:20" ht="14.4" x14ac:dyDescent="0.3">
      <c r="A15" s="25" t="s">
        <v>90</v>
      </c>
      <c r="B15" s="47">
        <v>5.0799999999999998E-2</v>
      </c>
      <c r="P15" s="26" t="s">
        <v>91</v>
      </c>
      <c r="Q15" s="44">
        <v>0.03</v>
      </c>
      <c r="R15" s="25">
        <v>1.159</v>
      </c>
      <c r="T15" s="26">
        <v>14</v>
      </c>
    </row>
    <row r="16" spans="1:20" ht="14.4" x14ac:dyDescent="0.3">
      <c r="A16" s="25" t="s">
        <v>92</v>
      </c>
      <c r="B16" s="47">
        <v>0.77790000000000004</v>
      </c>
      <c r="P16" s="26" t="s">
        <v>93</v>
      </c>
      <c r="Q16" s="44">
        <v>0.03</v>
      </c>
      <c r="R16" s="25">
        <v>1.159</v>
      </c>
      <c r="T16" s="26">
        <v>15</v>
      </c>
    </row>
    <row r="17" spans="1:20" ht="14.4" x14ac:dyDescent="0.3">
      <c r="A17" s="25" t="s">
        <v>94</v>
      </c>
      <c r="B17" s="47">
        <v>0.31590000000000001</v>
      </c>
      <c r="P17" s="26" t="s">
        <v>95</v>
      </c>
      <c r="Q17" s="44">
        <v>0.03</v>
      </c>
      <c r="R17" s="25">
        <v>1.159</v>
      </c>
      <c r="T17" s="26">
        <v>16</v>
      </c>
    </row>
    <row r="18" spans="1:20" ht="14.4" x14ac:dyDescent="0.3">
      <c r="A18" s="25" t="s">
        <v>96</v>
      </c>
      <c r="B18" s="47">
        <v>0.19800000000000001</v>
      </c>
      <c r="P18" s="26" t="s">
        <v>97</v>
      </c>
      <c r="Q18" s="44">
        <v>0.03</v>
      </c>
      <c r="R18" s="25">
        <v>1.159</v>
      </c>
      <c r="T18" s="26">
        <v>17</v>
      </c>
    </row>
    <row r="19" spans="1:20" ht="14.4" x14ac:dyDescent="0.3">
      <c r="A19" s="25" t="s">
        <v>98</v>
      </c>
      <c r="B19" s="47">
        <v>0.12479999999999999</v>
      </c>
      <c r="P19" s="26" t="s">
        <v>99</v>
      </c>
      <c r="Q19" s="44">
        <v>3.5000000000000003E-2</v>
      </c>
      <c r="R19" s="25">
        <v>1.2170000000000001</v>
      </c>
      <c r="T19" s="26">
        <v>18</v>
      </c>
    </row>
    <row r="20" spans="1:20" ht="14.4" x14ac:dyDescent="0.3">
      <c r="A20" s="25" t="s">
        <v>100</v>
      </c>
      <c r="B20" s="47">
        <v>9.9000000000000005E-2</v>
      </c>
      <c r="P20" s="26" t="s">
        <v>101</v>
      </c>
      <c r="Q20" s="44">
        <v>3.5000000000000003E-2</v>
      </c>
      <c r="R20" s="25">
        <v>1.2170000000000001</v>
      </c>
      <c r="T20" s="26">
        <v>19</v>
      </c>
    </row>
    <row r="21" spans="1:20" ht="15.75" customHeight="1" x14ac:dyDescent="0.3">
      <c r="A21" s="25" t="s">
        <v>102</v>
      </c>
      <c r="B21" s="47">
        <v>6.2399999999999997E-2</v>
      </c>
      <c r="P21" s="26" t="s">
        <v>103</v>
      </c>
      <c r="Q21" s="44">
        <v>0.04</v>
      </c>
      <c r="R21" s="25">
        <v>1.2170000000000001</v>
      </c>
      <c r="T21" s="26">
        <v>20</v>
      </c>
    </row>
    <row r="22" spans="1:20" ht="15.75" customHeight="1" x14ac:dyDescent="0.3">
      <c r="A22" s="25" t="s">
        <v>104</v>
      </c>
      <c r="B22" s="47">
        <v>0.71079999999999999</v>
      </c>
      <c r="F22" s="48"/>
      <c r="G22" s="48"/>
      <c r="H22" s="48"/>
      <c r="I22" s="48"/>
      <c r="J22" s="48"/>
      <c r="M22" s="49"/>
      <c r="P22" s="26" t="s">
        <v>105</v>
      </c>
      <c r="Q22" s="44">
        <v>0.04</v>
      </c>
      <c r="R22" s="25">
        <v>1.2170000000000001</v>
      </c>
      <c r="T22" s="26">
        <v>21</v>
      </c>
    </row>
    <row r="23" spans="1:20" ht="15.75" customHeight="1" x14ac:dyDescent="0.3">
      <c r="A23" s="25" t="s">
        <v>106</v>
      </c>
      <c r="B23" s="47">
        <v>0.53400000000000003</v>
      </c>
      <c r="P23" s="26" t="s">
        <v>107</v>
      </c>
      <c r="Q23" s="44">
        <v>0.04</v>
      </c>
      <c r="R23" s="25">
        <v>1.2170000000000001</v>
      </c>
      <c r="T23" s="26">
        <v>22</v>
      </c>
    </row>
    <row r="24" spans="1:20" ht="15.75" customHeight="1" x14ac:dyDescent="0.3">
      <c r="A24" s="25" t="s">
        <v>108</v>
      </c>
      <c r="B24" s="47">
        <v>0.44550000000000001</v>
      </c>
      <c r="P24" s="26" t="s">
        <v>109</v>
      </c>
      <c r="Q24" s="44">
        <v>2.5000000000000001E-2</v>
      </c>
      <c r="R24" s="25">
        <v>1.159</v>
      </c>
      <c r="T24" s="26">
        <v>23</v>
      </c>
    </row>
    <row r="25" spans="1:20" ht="15.75" customHeight="1" x14ac:dyDescent="0.3">
      <c r="A25" s="25" t="s">
        <v>110</v>
      </c>
      <c r="B25" s="47">
        <v>0.3357</v>
      </c>
      <c r="P25" s="26" t="s">
        <v>111</v>
      </c>
      <c r="Q25" s="44">
        <v>0.02</v>
      </c>
      <c r="R25" s="25">
        <v>1.1040000000000001</v>
      </c>
      <c r="T25" s="26">
        <v>24</v>
      </c>
    </row>
    <row r="26" spans="1:20" ht="15.75" customHeight="1" x14ac:dyDescent="0.3">
      <c r="A26" s="25" t="s">
        <v>112</v>
      </c>
      <c r="B26" s="47">
        <v>0.29699999999999999</v>
      </c>
      <c r="P26" s="26" t="s">
        <v>113</v>
      </c>
      <c r="Q26" s="44">
        <v>0.03</v>
      </c>
      <c r="R26" s="25">
        <v>1.159</v>
      </c>
      <c r="T26" s="26">
        <v>25</v>
      </c>
    </row>
    <row r="27" spans="1:20" ht="15.75" customHeight="1" x14ac:dyDescent="0.3">
      <c r="A27" s="25" t="s">
        <v>114</v>
      </c>
      <c r="B27" s="47">
        <v>1.8955</v>
      </c>
      <c r="P27" s="26" t="s">
        <v>115</v>
      </c>
      <c r="Q27" s="44">
        <v>0.04</v>
      </c>
      <c r="R27" s="25">
        <v>1.2170000000000001</v>
      </c>
      <c r="T27" s="26">
        <v>26</v>
      </c>
    </row>
    <row r="28" spans="1:20" ht="15.75" customHeight="1" x14ac:dyDescent="0.3">
      <c r="A28" s="25" t="s">
        <v>116</v>
      </c>
      <c r="B28" s="47">
        <v>1.1880999999999999</v>
      </c>
      <c r="P28" s="26" t="s">
        <v>117</v>
      </c>
      <c r="Q28" s="44">
        <v>2.5000000000000001E-2</v>
      </c>
      <c r="R28" s="25">
        <v>1.159</v>
      </c>
      <c r="T28" s="26">
        <v>27</v>
      </c>
    </row>
    <row r="29" spans="1:20" ht="15.75" customHeight="1" x14ac:dyDescent="0.3">
      <c r="A29" s="25" t="s">
        <v>118</v>
      </c>
      <c r="B29" s="47">
        <v>0.96840000000000004</v>
      </c>
      <c r="P29" s="26" t="s">
        <v>119</v>
      </c>
      <c r="Q29" s="44">
        <v>0.02</v>
      </c>
      <c r="R29" s="25">
        <v>1.1040000000000001</v>
      </c>
      <c r="T29" s="26">
        <v>28</v>
      </c>
    </row>
    <row r="30" spans="1:20" ht="15.75" customHeight="1" x14ac:dyDescent="0.3">
      <c r="A30" s="25" t="s">
        <v>120</v>
      </c>
      <c r="B30" s="47">
        <v>0.89100000000000001</v>
      </c>
      <c r="P30" s="26" t="s">
        <v>121</v>
      </c>
      <c r="Q30" s="44">
        <v>3.5000000000000003E-2</v>
      </c>
      <c r="R30" s="25">
        <v>1.2170000000000001</v>
      </c>
      <c r="T30" s="26">
        <v>29</v>
      </c>
    </row>
    <row r="31" spans="1:20" ht="15.75" customHeight="1" x14ac:dyDescent="0.3">
      <c r="A31" s="25" t="s">
        <v>122</v>
      </c>
      <c r="B31" s="47">
        <v>0.22</v>
      </c>
      <c r="P31" s="26" t="s">
        <v>123</v>
      </c>
      <c r="Q31" s="44">
        <v>0.05</v>
      </c>
      <c r="R31" s="26">
        <v>1.276</v>
      </c>
      <c r="T31" s="26">
        <v>30</v>
      </c>
    </row>
    <row r="32" spans="1:20" ht="15.75" customHeight="1" x14ac:dyDescent="0.3">
      <c r="A32" s="25" t="s">
        <v>124</v>
      </c>
      <c r="B32" s="47">
        <v>0.1489</v>
      </c>
      <c r="H32" s="50"/>
      <c r="P32" s="26" t="s">
        <v>125</v>
      </c>
      <c r="Q32" s="44">
        <v>0.02</v>
      </c>
      <c r="R32" s="25">
        <v>1.1040000000000001</v>
      </c>
      <c r="T32" s="26">
        <v>31</v>
      </c>
    </row>
    <row r="33" spans="1:20" ht="15.75" customHeight="1" x14ac:dyDescent="0.3">
      <c r="A33" s="25" t="s">
        <v>126</v>
      </c>
      <c r="B33" s="47">
        <v>0.65080000000000005</v>
      </c>
      <c r="P33" s="26" t="s">
        <v>127</v>
      </c>
      <c r="Q33" s="44">
        <v>0.03</v>
      </c>
      <c r="R33" s="25">
        <v>1.159</v>
      </c>
      <c r="T33" s="26">
        <v>32</v>
      </c>
    </row>
    <row r="34" spans="1:20" ht="15.75" customHeight="1" x14ac:dyDescent="0.3">
      <c r="A34" s="25" t="s">
        <v>128</v>
      </c>
      <c r="B34" s="47">
        <v>0.49049999999999999</v>
      </c>
      <c r="H34" s="50"/>
      <c r="P34" s="26" t="s">
        <v>129</v>
      </c>
      <c r="Q34" s="44">
        <v>3.5000000000000003E-2</v>
      </c>
      <c r="R34" s="25">
        <v>1.2170000000000001</v>
      </c>
      <c r="T34" s="26">
        <v>33</v>
      </c>
    </row>
    <row r="35" spans="1:20" ht="15.75" customHeight="1" x14ac:dyDescent="0.3">
      <c r="A35" s="25" t="s">
        <v>130</v>
      </c>
      <c r="B35" s="47">
        <v>0.4662</v>
      </c>
      <c r="H35" s="50"/>
      <c r="P35" s="26" t="s">
        <v>131</v>
      </c>
      <c r="Q35" s="44">
        <v>0.02</v>
      </c>
      <c r="R35" s="25">
        <v>1.1040000000000001</v>
      </c>
      <c r="T35" s="26">
        <v>34</v>
      </c>
    </row>
    <row r="36" spans="1:20" ht="15.75" customHeight="1" x14ac:dyDescent="0.3">
      <c r="A36" s="25" t="s">
        <v>132</v>
      </c>
      <c r="B36" s="47">
        <v>0.33500000000000002</v>
      </c>
      <c r="H36" s="50"/>
      <c r="P36" s="26" t="s">
        <v>133</v>
      </c>
      <c r="Q36" s="44">
        <v>3.5000000000000003E-2</v>
      </c>
      <c r="R36" s="25">
        <v>1.2170000000000001</v>
      </c>
      <c r="T36" s="26">
        <v>35</v>
      </c>
    </row>
    <row r="37" spans="1:20" ht="15.75" customHeight="1" x14ac:dyDescent="0.3">
      <c r="A37" s="25" t="s">
        <v>134</v>
      </c>
      <c r="B37" s="47">
        <v>1.3201000000000001</v>
      </c>
      <c r="P37" s="26" t="s">
        <v>135</v>
      </c>
      <c r="Q37" s="44">
        <v>0.03</v>
      </c>
      <c r="R37" s="25">
        <v>1.159</v>
      </c>
      <c r="T37" s="26">
        <v>36</v>
      </c>
    </row>
    <row r="38" spans="1:20" ht="15.75" customHeight="1" x14ac:dyDescent="0.3">
      <c r="A38" s="25" t="s">
        <v>136</v>
      </c>
      <c r="B38" s="47">
        <v>1.4181999999999999</v>
      </c>
      <c r="P38" s="26" t="s">
        <v>137</v>
      </c>
      <c r="Q38" s="44">
        <v>0.04</v>
      </c>
      <c r="R38" s="25">
        <v>1.2170000000000001</v>
      </c>
      <c r="T38" s="26">
        <v>37</v>
      </c>
    </row>
    <row r="39" spans="1:20" ht="15.75" customHeight="1" x14ac:dyDescent="0.3">
      <c r="A39" s="25" t="s">
        <v>138</v>
      </c>
      <c r="B39" s="47">
        <v>0.89339999999999997</v>
      </c>
      <c r="P39" s="26" t="s">
        <v>139</v>
      </c>
      <c r="Q39" s="44">
        <v>0.03</v>
      </c>
      <c r="R39" s="25">
        <v>1.159</v>
      </c>
      <c r="T39" s="26">
        <v>38</v>
      </c>
    </row>
    <row r="40" spans="1:20" ht="15.75" customHeight="1" x14ac:dyDescent="0.3">
      <c r="A40" s="25" t="s">
        <v>140</v>
      </c>
      <c r="B40" s="25">
        <v>5.6599999999999998E-2</v>
      </c>
      <c r="P40" s="26" t="s">
        <v>141</v>
      </c>
      <c r="Q40" s="44">
        <v>0.04</v>
      </c>
      <c r="R40" s="25">
        <v>1.2170000000000001</v>
      </c>
      <c r="T40" s="26">
        <v>39</v>
      </c>
    </row>
    <row r="41" spans="1:20" ht="15.75" customHeight="1" x14ac:dyDescent="0.3">
      <c r="A41" s="25" t="s">
        <v>142</v>
      </c>
      <c r="B41" s="25">
        <v>8.2400000000000001E-2</v>
      </c>
      <c r="P41" s="26" t="s">
        <v>143</v>
      </c>
      <c r="Q41" s="44">
        <v>0.03</v>
      </c>
      <c r="R41" s="25">
        <v>1.159</v>
      </c>
      <c r="T41" s="26">
        <v>40</v>
      </c>
    </row>
    <row r="42" spans="1:20" ht="15.75" customHeight="1" x14ac:dyDescent="0.3">
      <c r="A42" s="25" t="s">
        <v>144</v>
      </c>
      <c r="B42" s="25">
        <v>0.15440000000000001</v>
      </c>
      <c r="P42" s="26" t="s">
        <v>145</v>
      </c>
      <c r="Q42" s="44">
        <v>0.04</v>
      </c>
      <c r="R42" s="25">
        <v>1.2170000000000001</v>
      </c>
      <c r="T42" s="26">
        <v>41</v>
      </c>
    </row>
    <row r="43" spans="1:20" ht="15.75" customHeight="1" x14ac:dyDescent="0.3">
      <c r="A43" s="25" t="s">
        <v>58</v>
      </c>
      <c r="B43" s="25">
        <v>0.15440000000000001</v>
      </c>
      <c r="P43" s="26" t="s">
        <v>146</v>
      </c>
      <c r="Q43" s="44">
        <v>0.03</v>
      </c>
      <c r="R43" s="25">
        <v>1.159</v>
      </c>
      <c r="T43" s="26">
        <v>42</v>
      </c>
    </row>
    <row r="44" spans="1:20" ht="15.75" customHeight="1" x14ac:dyDescent="0.3">
      <c r="A44" s="25" t="s">
        <v>147</v>
      </c>
      <c r="B44" s="25">
        <v>0.2054</v>
      </c>
      <c r="P44" s="26" t="s">
        <v>148</v>
      </c>
      <c r="Q44" s="44">
        <v>3.5000000000000003E-2</v>
      </c>
      <c r="R44" s="25">
        <v>1.2170000000000001</v>
      </c>
      <c r="T44" s="26">
        <v>43</v>
      </c>
    </row>
    <row r="45" spans="1:20" ht="15.75" customHeight="1" x14ac:dyDescent="0.3">
      <c r="A45" s="25" t="s">
        <v>149</v>
      </c>
      <c r="B45" s="47">
        <v>0.19639999999999999</v>
      </c>
      <c r="P45" s="26" t="s">
        <v>150</v>
      </c>
      <c r="Q45" s="44">
        <v>0.04</v>
      </c>
      <c r="R45" s="25">
        <v>1.2170000000000001</v>
      </c>
      <c r="T45" s="26">
        <v>44</v>
      </c>
    </row>
    <row r="46" spans="1:20" ht="15.75" customHeight="1" x14ac:dyDescent="0.3">
      <c r="A46" s="25" t="s">
        <v>151</v>
      </c>
      <c r="B46" s="47">
        <v>0.19639999999999999</v>
      </c>
      <c r="P46" s="26" t="s">
        <v>152</v>
      </c>
      <c r="Q46" s="44">
        <v>0.03</v>
      </c>
      <c r="R46" s="25">
        <v>1.159</v>
      </c>
      <c r="T46" s="26">
        <v>45</v>
      </c>
    </row>
    <row r="47" spans="1:20" ht="15.75" customHeight="1" x14ac:dyDescent="0.3">
      <c r="A47" s="25" t="s">
        <v>153</v>
      </c>
      <c r="B47" s="47">
        <v>0.106</v>
      </c>
      <c r="P47" s="26" t="s">
        <v>154</v>
      </c>
      <c r="Q47" s="44">
        <v>0.04</v>
      </c>
      <c r="R47" s="25">
        <v>1.2170000000000001</v>
      </c>
      <c r="T47" s="26">
        <v>46</v>
      </c>
    </row>
    <row r="48" spans="1:20" ht="15.75" customHeight="1" x14ac:dyDescent="0.3">
      <c r="A48" s="25" t="s">
        <v>57</v>
      </c>
      <c r="B48" s="47">
        <v>7.9799999999999996E-2</v>
      </c>
      <c r="P48" s="26" t="s">
        <v>155</v>
      </c>
      <c r="Q48" s="44">
        <v>0.04</v>
      </c>
      <c r="R48" s="25">
        <v>1.2170000000000001</v>
      </c>
      <c r="T48" s="26">
        <v>47</v>
      </c>
    </row>
    <row r="49" spans="1:20" ht="15.75" customHeight="1" x14ac:dyDescent="0.3">
      <c r="A49" s="25" t="s">
        <v>156</v>
      </c>
      <c r="B49" s="47">
        <v>7.9799999999999996E-2</v>
      </c>
      <c r="P49" s="26" t="s">
        <v>157</v>
      </c>
      <c r="Q49" s="44">
        <v>0.04</v>
      </c>
      <c r="R49" s="25">
        <v>1.2170000000000001</v>
      </c>
      <c r="T49" s="26">
        <v>48</v>
      </c>
    </row>
    <row r="50" spans="1:20" ht="15.75" customHeight="1" x14ac:dyDescent="0.3">
      <c r="A50" s="25" t="s">
        <v>158</v>
      </c>
      <c r="B50" s="47">
        <v>6.54E-2</v>
      </c>
      <c r="P50" s="26" t="s">
        <v>159</v>
      </c>
      <c r="Q50" s="44">
        <v>3.5000000000000003E-2</v>
      </c>
      <c r="R50" s="25">
        <v>1.2170000000000001</v>
      </c>
      <c r="T50" s="26">
        <v>49</v>
      </c>
    </row>
    <row r="51" spans="1:20" ht="15.75" customHeight="1" x14ac:dyDescent="0.3">
      <c r="A51" s="25" t="s">
        <v>160</v>
      </c>
      <c r="B51" s="47">
        <v>5.1799999999999999E-2</v>
      </c>
      <c r="P51" s="26" t="s">
        <v>161</v>
      </c>
      <c r="Q51" s="44">
        <v>3.5000000000000003E-2</v>
      </c>
      <c r="R51" s="25">
        <v>1.2170000000000001</v>
      </c>
      <c r="T51" s="26">
        <v>50</v>
      </c>
    </row>
    <row r="52" spans="1:20" ht="15.75" customHeight="1" x14ac:dyDescent="0.3">
      <c r="A52" s="25" t="s">
        <v>162</v>
      </c>
      <c r="B52" s="47">
        <v>0.65069999999999995</v>
      </c>
      <c r="P52" s="26" t="s">
        <v>163</v>
      </c>
      <c r="Q52" s="44">
        <v>0.03</v>
      </c>
      <c r="R52" s="25">
        <v>1.159</v>
      </c>
      <c r="T52" s="26">
        <v>51</v>
      </c>
    </row>
    <row r="53" spans="1:20" ht="15.75" customHeight="1" x14ac:dyDescent="0.3">
      <c r="A53" s="25" t="s">
        <v>164</v>
      </c>
      <c r="B53" s="47">
        <v>0.31290000000000001</v>
      </c>
      <c r="P53" s="26" t="s">
        <v>165</v>
      </c>
      <c r="Q53" s="44">
        <v>0.03</v>
      </c>
      <c r="R53" s="25">
        <v>1.159</v>
      </c>
      <c r="T53" s="26">
        <v>52</v>
      </c>
    </row>
    <row r="54" spans="1:20" ht="15.75" customHeight="1" x14ac:dyDescent="0.3">
      <c r="A54" s="25" t="s">
        <v>166</v>
      </c>
      <c r="B54" s="47">
        <v>0.21629999999999999</v>
      </c>
      <c r="P54" s="26" t="s">
        <v>167</v>
      </c>
      <c r="Q54" s="44">
        <v>0.03</v>
      </c>
      <c r="R54" s="25">
        <v>1.159</v>
      </c>
      <c r="T54" s="26">
        <v>53</v>
      </c>
    </row>
    <row r="55" spans="1:20" ht="15.75" customHeight="1" x14ac:dyDescent="0.3">
      <c r="A55" s="25" t="s">
        <v>168</v>
      </c>
      <c r="B55" s="47">
        <v>0.15559999999999999</v>
      </c>
      <c r="P55" s="26" t="s">
        <v>169</v>
      </c>
      <c r="Q55" s="44">
        <v>0.04</v>
      </c>
      <c r="R55" s="25">
        <v>1.2170000000000001</v>
      </c>
      <c r="T55" s="26">
        <v>54</v>
      </c>
    </row>
    <row r="56" spans="1:20" ht="15.75" customHeight="1" x14ac:dyDescent="0.3">
      <c r="A56" s="25" t="s">
        <v>170</v>
      </c>
      <c r="B56" s="47">
        <v>0.1338</v>
      </c>
      <c r="P56" s="26" t="s">
        <v>171</v>
      </c>
      <c r="Q56" s="44">
        <v>0.04</v>
      </c>
      <c r="R56" s="25">
        <v>1.2170000000000001</v>
      </c>
      <c r="T56" s="26">
        <v>55</v>
      </c>
    </row>
    <row r="57" spans="1:20" ht="15.75" customHeight="1" x14ac:dyDescent="0.3">
      <c r="A57" s="25" t="s">
        <v>172</v>
      </c>
      <c r="B57" s="47">
        <v>0.1024</v>
      </c>
      <c r="P57" s="26" t="s">
        <v>173</v>
      </c>
      <c r="Q57" s="44">
        <v>0.03</v>
      </c>
      <c r="R57" s="25">
        <v>1.159</v>
      </c>
    </row>
    <row r="58" spans="1:20" ht="15.75" customHeight="1" x14ac:dyDescent="0.3">
      <c r="A58" s="25" t="s">
        <v>174</v>
      </c>
      <c r="B58" s="47">
        <v>0.70389999999999997</v>
      </c>
      <c r="P58" s="26" t="s">
        <v>175</v>
      </c>
      <c r="Q58" s="44">
        <v>0.04</v>
      </c>
      <c r="R58" s="25">
        <v>1.2170000000000001</v>
      </c>
    </row>
    <row r="59" spans="1:20" ht="15.75" customHeight="1" x14ac:dyDescent="0.3">
      <c r="A59" s="25" t="s">
        <v>176</v>
      </c>
      <c r="B59" s="47">
        <v>0.55910000000000004</v>
      </c>
      <c r="P59" s="26" t="s">
        <v>177</v>
      </c>
      <c r="Q59" s="44">
        <v>3.5000000000000003E-2</v>
      </c>
      <c r="R59" s="25">
        <v>1.2170000000000001</v>
      </c>
    </row>
    <row r="60" spans="1:20" ht="15.75" customHeight="1" x14ac:dyDescent="0.3">
      <c r="A60" s="25" t="s">
        <v>178</v>
      </c>
      <c r="B60" s="47">
        <v>0.48670000000000002</v>
      </c>
      <c r="P60" s="26" t="s">
        <v>179</v>
      </c>
      <c r="Q60" s="44">
        <v>0.04</v>
      </c>
      <c r="R60" s="25">
        <v>1.2170000000000001</v>
      </c>
    </row>
    <row r="61" spans="1:20" ht="15.75" customHeight="1" x14ac:dyDescent="0.3">
      <c r="A61" s="25" t="s">
        <v>180</v>
      </c>
      <c r="B61" s="47">
        <v>0.3957</v>
      </c>
      <c r="P61" s="26" t="s">
        <v>181</v>
      </c>
      <c r="Q61" s="44">
        <v>0.03</v>
      </c>
      <c r="R61" s="25">
        <v>1.159</v>
      </c>
    </row>
    <row r="62" spans="1:20" ht="15.75" customHeight="1" x14ac:dyDescent="0.3">
      <c r="A62" s="25" t="s">
        <v>182</v>
      </c>
      <c r="B62" s="47">
        <v>0.36299999999999999</v>
      </c>
      <c r="P62" s="26" t="s">
        <v>183</v>
      </c>
      <c r="Q62" s="44">
        <v>0.04</v>
      </c>
      <c r="R62" s="25">
        <v>1.2170000000000001</v>
      </c>
    </row>
    <row r="63" spans="1:20" ht="15.75" customHeight="1" x14ac:dyDescent="0.3">
      <c r="A63" s="25" t="s">
        <v>184</v>
      </c>
      <c r="B63" s="47">
        <v>1.8771</v>
      </c>
      <c r="P63" s="26" t="s">
        <v>185</v>
      </c>
      <c r="Q63" s="44">
        <v>0.04</v>
      </c>
      <c r="R63" s="25">
        <v>1.2170000000000001</v>
      </c>
    </row>
    <row r="64" spans="1:20" ht="15.75" customHeight="1" x14ac:dyDescent="0.3">
      <c r="A64" s="25" t="s">
        <v>186</v>
      </c>
      <c r="B64" s="47">
        <v>1.2978000000000001</v>
      </c>
      <c r="P64" s="26" t="s">
        <v>187</v>
      </c>
      <c r="Q64" s="44">
        <v>0.02</v>
      </c>
      <c r="R64" s="25">
        <v>1.1040000000000001</v>
      </c>
    </row>
    <row r="65" spans="1:18" ht="15.75" customHeight="1" x14ac:dyDescent="0.3">
      <c r="A65" s="25" t="s">
        <v>188</v>
      </c>
      <c r="B65" s="47">
        <v>1.1157999999999999</v>
      </c>
      <c r="P65" s="26" t="s">
        <v>189</v>
      </c>
      <c r="Q65" s="44">
        <v>0.04</v>
      </c>
      <c r="R65" s="25">
        <v>1.2170000000000001</v>
      </c>
    </row>
    <row r="66" spans="1:18" ht="15.75" customHeight="1" x14ac:dyDescent="0.3">
      <c r="A66" s="25" t="s">
        <v>190</v>
      </c>
      <c r="B66" s="47">
        <v>1.0504</v>
      </c>
      <c r="P66" s="26" t="s">
        <v>191</v>
      </c>
      <c r="Q66" s="44">
        <v>0.03</v>
      </c>
      <c r="R66" s="25">
        <v>1.159</v>
      </c>
    </row>
    <row r="67" spans="1:18" ht="15.75" customHeight="1" x14ac:dyDescent="0.3">
      <c r="A67" s="25" t="s">
        <v>192</v>
      </c>
      <c r="B67" s="47">
        <v>0.2195</v>
      </c>
      <c r="P67" s="26" t="s">
        <v>193</v>
      </c>
      <c r="Q67" s="44">
        <v>0.03</v>
      </c>
      <c r="R67" s="25">
        <v>1.159</v>
      </c>
    </row>
    <row r="68" spans="1:18" ht="15.75" customHeight="1" x14ac:dyDescent="0.3">
      <c r="A68" s="25" t="s">
        <v>194</v>
      </c>
      <c r="B68" s="47">
        <v>0.1608</v>
      </c>
      <c r="P68" s="26" t="s">
        <v>195</v>
      </c>
      <c r="Q68" s="44">
        <v>0.04</v>
      </c>
      <c r="R68" s="25">
        <v>1.2170000000000001</v>
      </c>
    </row>
    <row r="69" spans="1:18" ht="15.75" customHeight="1" x14ac:dyDescent="0.3">
      <c r="A69" s="25" t="s">
        <v>196</v>
      </c>
      <c r="B69" s="47">
        <v>0.62109999999999999</v>
      </c>
      <c r="P69" s="26" t="s">
        <v>197</v>
      </c>
      <c r="Q69" s="44">
        <v>0.04</v>
      </c>
      <c r="R69" s="25">
        <v>1.2170000000000001</v>
      </c>
    </row>
    <row r="70" spans="1:18" ht="15.75" customHeight="1" x14ac:dyDescent="0.3">
      <c r="A70" s="25" t="s">
        <v>198</v>
      </c>
      <c r="B70" s="47">
        <v>0.49390000000000001</v>
      </c>
      <c r="P70" s="26" t="s">
        <v>199</v>
      </c>
      <c r="Q70" s="44">
        <v>0.04</v>
      </c>
      <c r="R70" s="25">
        <v>1.2170000000000001</v>
      </c>
    </row>
    <row r="71" spans="1:18" ht="15.75" customHeight="1" x14ac:dyDescent="0.3">
      <c r="A71" s="25" t="s">
        <v>200</v>
      </c>
      <c r="B71" s="47">
        <v>0.46939999999999998</v>
      </c>
      <c r="P71" s="26" t="s">
        <v>201</v>
      </c>
      <c r="Q71" s="44">
        <v>0.04</v>
      </c>
      <c r="R71" s="25">
        <v>1.2170000000000001</v>
      </c>
    </row>
    <row r="72" spans="1:18" ht="15.75" customHeight="1" x14ac:dyDescent="0.3">
      <c r="A72" s="25" t="s">
        <v>202</v>
      </c>
      <c r="B72" s="47">
        <v>0.36180000000000001</v>
      </c>
      <c r="P72" s="26" t="s">
        <v>203</v>
      </c>
      <c r="Q72" s="44">
        <v>0.02</v>
      </c>
      <c r="R72" s="25">
        <v>1.1040000000000001</v>
      </c>
    </row>
    <row r="73" spans="1:18" ht="15.75" customHeight="1" x14ac:dyDescent="0.3">
      <c r="A73" s="25" t="s">
        <v>204</v>
      </c>
      <c r="B73" s="47">
        <v>1.3954</v>
      </c>
      <c r="P73" s="26" t="s">
        <v>205</v>
      </c>
      <c r="Q73" s="44">
        <v>0.03</v>
      </c>
      <c r="R73" s="25">
        <v>1.159</v>
      </c>
    </row>
    <row r="74" spans="1:18" ht="15.75" customHeight="1" x14ac:dyDescent="0.3">
      <c r="A74" s="25" t="s">
        <v>206</v>
      </c>
      <c r="B74" s="47">
        <v>1.3954</v>
      </c>
      <c r="P74" s="26" t="s">
        <v>207</v>
      </c>
      <c r="Q74" s="44">
        <v>4.4999999999999998E-2</v>
      </c>
      <c r="R74" s="26">
        <v>1.276</v>
      </c>
    </row>
    <row r="75" spans="1:18" ht="15.75" customHeight="1" x14ac:dyDescent="0.3">
      <c r="A75" s="25" t="s">
        <v>208</v>
      </c>
      <c r="B75" s="47">
        <v>0.9647</v>
      </c>
      <c r="P75" s="26" t="s">
        <v>209</v>
      </c>
      <c r="Q75" s="44">
        <v>2.5000000000000001E-2</v>
      </c>
      <c r="R75" s="25">
        <v>1.159</v>
      </c>
    </row>
    <row r="76" spans="1:18" ht="15.75" customHeight="1" x14ac:dyDescent="0.3">
      <c r="A76" s="25" t="s">
        <v>210</v>
      </c>
      <c r="B76" s="47">
        <v>0.433</v>
      </c>
      <c r="P76" s="26" t="s">
        <v>211</v>
      </c>
      <c r="Q76" s="44">
        <v>0.04</v>
      </c>
      <c r="R76" s="25">
        <v>1.2170000000000001</v>
      </c>
    </row>
    <row r="77" spans="1:18" ht="15.75" customHeight="1" x14ac:dyDescent="0.3">
      <c r="A77" s="25" t="s">
        <v>212</v>
      </c>
      <c r="B77" s="47">
        <v>0.216</v>
      </c>
      <c r="P77" s="26" t="s">
        <v>213</v>
      </c>
      <c r="Q77" s="44">
        <v>0.04</v>
      </c>
      <c r="R77" s="25">
        <v>1.2170000000000001</v>
      </c>
    </row>
    <row r="78" spans="1:18" ht="15.75" customHeight="1" x14ac:dyDescent="0.3">
      <c r="A78" s="25" t="s">
        <v>214</v>
      </c>
      <c r="B78" s="47">
        <v>0.28199999999999997</v>
      </c>
      <c r="P78" s="26" t="s">
        <v>215</v>
      </c>
      <c r="Q78" s="44">
        <v>0.03</v>
      </c>
      <c r="R78" s="25">
        <v>1.159</v>
      </c>
    </row>
    <row r="79" spans="1:18" ht="15.75" customHeight="1" x14ac:dyDescent="0.3">
      <c r="A79" s="25" t="s">
        <v>216</v>
      </c>
      <c r="B79" s="47">
        <v>1.68</v>
      </c>
      <c r="P79" s="26" t="s">
        <v>217</v>
      </c>
      <c r="Q79" s="44">
        <v>0.03</v>
      </c>
      <c r="R79" s="25">
        <v>1.159</v>
      </c>
    </row>
    <row r="80" spans="1:18" ht="15.75" customHeight="1" x14ac:dyDescent="0.3">
      <c r="A80" s="25" t="s">
        <v>218</v>
      </c>
      <c r="B80" s="47">
        <v>0.63</v>
      </c>
      <c r="P80" s="26" t="s">
        <v>219</v>
      </c>
      <c r="Q80" s="44">
        <v>0.03</v>
      </c>
      <c r="R80" s="25">
        <v>1.159</v>
      </c>
    </row>
    <row r="81" spans="1:18" ht="15.75" customHeight="1" x14ac:dyDescent="0.3">
      <c r="A81" s="25" t="s">
        <v>220</v>
      </c>
      <c r="B81" s="47">
        <v>0.28000000000000003</v>
      </c>
      <c r="P81" s="26" t="s">
        <v>221</v>
      </c>
      <c r="Q81" s="44">
        <v>0.04</v>
      </c>
      <c r="R81" s="25">
        <v>1.2170000000000001</v>
      </c>
    </row>
    <row r="82" spans="1:18" ht="15.75" customHeight="1" x14ac:dyDescent="0.3">
      <c r="A82" s="25" t="s">
        <v>222</v>
      </c>
      <c r="B82" s="47">
        <v>0.12</v>
      </c>
      <c r="P82" s="26" t="s">
        <v>223</v>
      </c>
      <c r="Q82" s="44">
        <v>0.05</v>
      </c>
      <c r="R82" s="26">
        <v>1.276</v>
      </c>
    </row>
    <row r="83" spans="1:18" ht="15.75" customHeight="1" x14ac:dyDescent="0.3">
      <c r="A83" s="25" t="s">
        <v>224</v>
      </c>
      <c r="B83" s="47">
        <v>0.74</v>
      </c>
      <c r="P83" s="26" t="s">
        <v>225</v>
      </c>
      <c r="Q83" s="44">
        <v>0.05</v>
      </c>
      <c r="R83" s="26">
        <v>1.276</v>
      </c>
    </row>
    <row r="84" spans="1:18" ht="15.75" customHeight="1" x14ac:dyDescent="0.3">
      <c r="A84" s="25"/>
      <c r="B84" s="47"/>
      <c r="P84" s="26" t="s">
        <v>226</v>
      </c>
      <c r="Q84" s="44">
        <v>0.04</v>
      </c>
      <c r="R84" s="25">
        <v>1.2170000000000001</v>
      </c>
    </row>
    <row r="85" spans="1:18" ht="15.75" customHeight="1" x14ac:dyDescent="0.3">
      <c r="P85" s="26" t="s">
        <v>227</v>
      </c>
      <c r="Q85" s="44">
        <v>3.5000000000000003E-2</v>
      </c>
      <c r="R85" s="25">
        <v>1.2170000000000001</v>
      </c>
    </row>
    <row r="86" spans="1:18" ht="15.75" customHeight="1" x14ac:dyDescent="0.3">
      <c r="P86" s="26" t="s">
        <v>228</v>
      </c>
      <c r="Q86" s="44">
        <v>0.04</v>
      </c>
      <c r="R86" s="25">
        <v>1.2170000000000001</v>
      </c>
    </row>
    <row r="87" spans="1:18" ht="15.75" customHeight="1" x14ac:dyDescent="0.3">
      <c r="P87" s="26" t="s">
        <v>229</v>
      </c>
      <c r="Q87" s="44">
        <v>0.04</v>
      </c>
      <c r="R87" s="25">
        <v>1.2170000000000001</v>
      </c>
    </row>
    <row r="88" spans="1:18" ht="15.75" customHeight="1" x14ac:dyDescent="0.3">
      <c r="P88" s="26" t="s">
        <v>230</v>
      </c>
      <c r="Q88" s="44">
        <v>2.5000000000000001E-2</v>
      </c>
      <c r="R88" s="25">
        <v>1.159</v>
      </c>
    </row>
    <row r="89" spans="1:18" ht="15.75" customHeight="1" x14ac:dyDescent="0.3">
      <c r="P89" s="26" t="s">
        <v>231</v>
      </c>
      <c r="Q89" s="44">
        <v>0.04</v>
      </c>
      <c r="R89" s="25">
        <v>1.2170000000000001</v>
      </c>
    </row>
    <row r="90" spans="1:18" ht="15.75" customHeight="1" x14ac:dyDescent="0.3">
      <c r="P90" s="26" t="s">
        <v>232</v>
      </c>
      <c r="Q90" s="44">
        <v>3.5000000000000003E-2</v>
      </c>
      <c r="R90" s="25">
        <v>1.2170000000000001</v>
      </c>
    </row>
    <row r="91" spans="1:18" ht="15.75" customHeight="1" x14ac:dyDescent="0.3">
      <c r="P91" s="26" t="s">
        <v>233</v>
      </c>
      <c r="Q91" s="44">
        <v>3.5000000000000003E-2</v>
      </c>
      <c r="R91" s="25">
        <v>1.2170000000000001</v>
      </c>
    </row>
    <row r="92" spans="1:18" ht="15.75" customHeight="1" x14ac:dyDescent="0.3">
      <c r="P92" s="26" t="s">
        <v>234</v>
      </c>
      <c r="Q92" s="44">
        <v>4.4999999999999998E-2</v>
      </c>
      <c r="R92" s="26">
        <v>1.276</v>
      </c>
    </row>
    <row r="93" spans="1:18" ht="15.75" customHeight="1" x14ac:dyDescent="0.3">
      <c r="P93" s="26" t="s">
        <v>235</v>
      </c>
      <c r="Q93" s="44">
        <v>0.04</v>
      </c>
      <c r="R93" s="25">
        <v>1.2170000000000001</v>
      </c>
    </row>
    <row r="94" spans="1:18" ht="15.75" customHeight="1" x14ac:dyDescent="0.3">
      <c r="P94" s="26" t="s">
        <v>236</v>
      </c>
      <c r="Q94" s="44">
        <v>0.04</v>
      </c>
      <c r="R94" s="25">
        <v>1.2170000000000001</v>
      </c>
    </row>
    <row r="95" spans="1:18" ht="15.75" customHeight="1" x14ac:dyDescent="0.3">
      <c r="P95" s="26" t="s">
        <v>237</v>
      </c>
      <c r="Q95" s="44">
        <v>0.02</v>
      </c>
      <c r="R95" s="25">
        <v>1.1040000000000001</v>
      </c>
    </row>
    <row r="96" spans="1:18" ht="15.75" customHeight="1" x14ac:dyDescent="0.3">
      <c r="P96" s="26" t="s">
        <v>238</v>
      </c>
      <c r="Q96" s="44">
        <v>3.5000000000000003E-2</v>
      </c>
      <c r="R96" s="25">
        <v>1.2170000000000001</v>
      </c>
    </row>
    <row r="97" spans="16:18" ht="15.75" customHeight="1" x14ac:dyDescent="0.3">
      <c r="P97" s="26" t="s">
        <v>239</v>
      </c>
      <c r="Q97" s="44">
        <v>0.03</v>
      </c>
      <c r="R97" s="25">
        <v>1.159</v>
      </c>
    </row>
    <row r="98" spans="16:18" ht="15.75" customHeight="1" x14ac:dyDescent="0.3">
      <c r="P98" s="26" t="s">
        <v>240</v>
      </c>
      <c r="Q98" s="44">
        <v>0.03</v>
      </c>
      <c r="R98" s="25">
        <v>1.159</v>
      </c>
    </row>
    <row r="99" spans="16:18" ht="15.75" customHeight="1" x14ac:dyDescent="0.3">
      <c r="P99" s="26" t="s">
        <v>241</v>
      </c>
      <c r="Q99" s="44">
        <v>3.5000000000000003E-2</v>
      </c>
      <c r="R99" s="25">
        <v>1.2170000000000001</v>
      </c>
    </row>
    <row r="100" spans="16:18" ht="15.75" customHeight="1" x14ac:dyDescent="0.3">
      <c r="P100" s="26" t="s">
        <v>242</v>
      </c>
      <c r="Q100" s="44">
        <v>0.03</v>
      </c>
      <c r="R100" s="25">
        <v>1.159</v>
      </c>
    </row>
    <row r="101" spans="16:18" ht="15.75" customHeight="1" x14ac:dyDescent="0.3">
      <c r="P101" s="26" t="s">
        <v>243</v>
      </c>
      <c r="Q101" s="44">
        <v>0.04</v>
      </c>
      <c r="R101" s="25">
        <v>1.2170000000000001</v>
      </c>
    </row>
    <row r="102" spans="16:18" ht="15.75" customHeight="1" x14ac:dyDescent="0.3">
      <c r="P102" s="26" t="s">
        <v>244</v>
      </c>
      <c r="Q102" s="44">
        <v>0.04</v>
      </c>
      <c r="R102" s="25">
        <v>1.2170000000000001</v>
      </c>
    </row>
    <row r="103" spans="16:18" ht="15.75" customHeight="1" x14ac:dyDescent="0.3">
      <c r="P103" s="26" t="s">
        <v>245</v>
      </c>
      <c r="Q103" s="44">
        <v>0.02</v>
      </c>
      <c r="R103" s="25">
        <v>1.1040000000000001</v>
      </c>
    </row>
    <row r="104" spans="16:18" ht="15.75" customHeight="1" x14ac:dyDescent="0.3">
      <c r="P104" s="26" t="s">
        <v>246</v>
      </c>
      <c r="Q104" s="44">
        <v>0.04</v>
      </c>
      <c r="R104" s="25">
        <v>1.2170000000000001</v>
      </c>
    </row>
    <row r="105" spans="16:18" ht="15.75" customHeight="1" x14ac:dyDescent="0.3">
      <c r="P105" s="26" t="s">
        <v>247</v>
      </c>
      <c r="Q105" s="44">
        <v>0.02</v>
      </c>
      <c r="R105" s="25">
        <v>1.1040000000000001</v>
      </c>
    </row>
    <row r="106" spans="16:18" ht="15.75" customHeight="1" x14ac:dyDescent="0.3">
      <c r="P106" s="26" t="s">
        <v>248</v>
      </c>
      <c r="Q106" s="44">
        <v>0.04</v>
      </c>
      <c r="R106" s="25">
        <v>1.2170000000000001</v>
      </c>
    </row>
    <row r="107" spans="16:18" ht="15.75" customHeight="1" x14ac:dyDescent="0.3">
      <c r="P107" s="26" t="s">
        <v>249</v>
      </c>
      <c r="Q107" s="44">
        <v>0.04</v>
      </c>
      <c r="R107" s="25">
        <v>1.2170000000000001</v>
      </c>
    </row>
    <row r="108" spans="16:18" ht="15.75" customHeight="1" x14ac:dyDescent="0.3">
      <c r="P108" s="26" t="s">
        <v>250</v>
      </c>
      <c r="Q108" s="44">
        <v>4.4999999999999998E-2</v>
      </c>
      <c r="R108" s="26">
        <v>1.276</v>
      </c>
    </row>
    <row r="109" spans="16:18" ht="15.75" customHeight="1" x14ac:dyDescent="0.3">
      <c r="P109" s="26" t="s">
        <v>251</v>
      </c>
      <c r="Q109" s="44">
        <v>3.5000000000000003E-2</v>
      </c>
      <c r="R109" s="25">
        <v>1.2170000000000001</v>
      </c>
    </row>
    <row r="110" spans="16:18" ht="15.75" customHeight="1" x14ac:dyDescent="0.3">
      <c r="P110" s="26" t="s">
        <v>252</v>
      </c>
      <c r="Q110" s="44">
        <v>0.03</v>
      </c>
      <c r="R110" s="25">
        <v>1.159</v>
      </c>
    </row>
    <row r="111" spans="16:18" ht="15.75" customHeight="1" x14ac:dyDescent="0.3">
      <c r="P111" s="26" t="s">
        <v>253</v>
      </c>
      <c r="Q111" s="44">
        <v>0.03</v>
      </c>
      <c r="R111" s="25">
        <v>1.159</v>
      </c>
    </row>
    <row r="112" spans="16:18" ht="15.75" customHeight="1" x14ac:dyDescent="0.3">
      <c r="P112" s="26" t="s">
        <v>254</v>
      </c>
      <c r="Q112" s="44">
        <v>0.03</v>
      </c>
      <c r="R112" s="25">
        <v>1.159</v>
      </c>
    </row>
    <row r="113" spans="16:18" ht="15.75" customHeight="1" x14ac:dyDescent="0.3">
      <c r="P113" s="26" t="s">
        <v>255</v>
      </c>
      <c r="Q113" s="44">
        <v>0.02</v>
      </c>
      <c r="R113" s="25">
        <v>1.1040000000000001</v>
      </c>
    </row>
    <row r="114" spans="16:18" ht="15.75" customHeight="1" x14ac:dyDescent="0.3">
      <c r="P114" s="26" t="s">
        <v>256</v>
      </c>
      <c r="Q114" s="44">
        <v>0.03</v>
      </c>
      <c r="R114" s="25">
        <v>1.159</v>
      </c>
    </row>
    <row r="115" spans="16:18" ht="15.75" customHeight="1" x14ac:dyDescent="0.3">
      <c r="P115" s="26" t="s">
        <v>257</v>
      </c>
      <c r="Q115" s="44">
        <v>0.03</v>
      </c>
      <c r="R115" s="25">
        <v>1.159</v>
      </c>
    </row>
    <row r="116" spans="16:18" ht="15.75" customHeight="1" x14ac:dyDescent="0.3">
      <c r="P116" s="26" t="s">
        <v>258</v>
      </c>
      <c r="Q116" s="44">
        <v>0.03</v>
      </c>
      <c r="R116" s="25">
        <v>1.159</v>
      </c>
    </row>
    <row r="117" spans="16:18" ht="15.75" customHeight="1" x14ac:dyDescent="0.3">
      <c r="P117" s="26" t="s">
        <v>259</v>
      </c>
      <c r="Q117" s="44">
        <v>0.03</v>
      </c>
      <c r="R117" s="25">
        <v>1.159</v>
      </c>
    </row>
    <row r="118" spans="16:18" ht="15.75" customHeight="1" x14ac:dyDescent="0.3">
      <c r="P118" s="26" t="s">
        <v>260</v>
      </c>
      <c r="Q118" s="44">
        <v>3.5000000000000003E-2</v>
      </c>
      <c r="R118" s="25">
        <v>1.2170000000000001</v>
      </c>
    </row>
    <row r="119" spans="16:18" ht="15.75" customHeight="1" x14ac:dyDescent="0.3">
      <c r="P119" s="26" t="s">
        <v>261</v>
      </c>
      <c r="Q119" s="44">
        <v>3.5000000000000003E-2</v>
      </c>
      <c r="R119" s="25">
        <v>1.2170000000000001</v>
      </c>
    </row>
    <row r="120" spans="16:18" ht="15.75" customHeight="1" x14ac:dyDescent="0.3">
      <c r="P120" s="26" t="s">
        <v>262</v>
      </c>
      <c r="Q120" s="44">
        <v>0.03</v>
      </c>
      <c r="R120" s="25">
        <v>1.159</v>
      </c>
    </row>
    <row r="121" spans="16:18" ht="15.75" customHeight="1" x14ac:dyDescent="0.3">
      <c r="P121" s="26" t="s">
        <v>29</v>
      </c>
      <c r="Q121" s="44">
        <v>4.4999999999999998E-2</v>
      </c>
      <c r="R121" s="26">
        <v>1.276</v>
      </c>
    </row>
    <row r="122" spans="16:18" ht="15.75" customHeight="1" x14ac:dyDescent="0.3">
      <c r="P122" s="26" t="s">
        <v>263</v>
      </c>
      <c r="Q122" s="44">
        <v>0.03</v>
      </c>
      <c r="R122" s="25">
        <v>1.159</v>
      </c>
    </row>
    <row r="123" spans="16:18" ht="15.75" customHeight="1" x14ac:dyDescent="0.3"/>
    <row r="124" spans="16:18" ht="15.75" customHeight="1" x14ac:dyDescent="0.3"/>
    <row r="125" spans="16:18" ht="15.75" customHeight="1" x14ac:dyDescent="0.3"/>
    <row r="126" spans="16:18" ht="15.75" customHeight="1" x14ac:dyDescent="0.3"/>
    <row r="127" spans="16:18" ht="15.75" customHeight="1" x14ac:dyDescent="0.3"/>
    <row r="128" spans="16:1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P1:R122" xr:uid="{00000000-0009-0000-0000-00000A000000}"/>
  <mergeCells count="6">
    <mergeCell ref="A1:B1"/>
    <mergeCell ref="D1:D3"/>
    <mergeCell ref="E1:N1"/>
    <mergeCell ref="A2:A3"/>
    <mergeCell ref="B2:B3"/>
    <mergeCell ref="E2:N2"/>
  </mergeCells>
  <pageMargins left="0.51180555555555496" right="0.51180555555555496" top="0.78749999999999998" bottom="0.78749999999999998" header="0" footer="0"/>
  <pageSetup scale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61e59-50c6-4bd8-9e54-e38361052db6" xsi:nil="true"/>
    <lcf76f155ced4ddcb4097134ff3c332f xmlns="abe50dc3-7e8d-475f-a401-2d38c916cd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A5378FD9A10147BDDA735AB4ACDBF8" ma:contentTypeVersion="15" ma:contentTypeDescription="Crie um novo documento." ma:contentTypeScope="" ma:versionID="33384ee78734cf18e78ef494cdc10a1a">
  <xsd:schema xmlns:xsd="http://www.w3.org/2001/XMLSchema" xmlns:xs="http://www.w3.org/2001/XMLSchema" xmlns:p="http://schemas.microsoft.com/office/2006/metadata/properties" xmlns:ns2="abe50dc3-7e8d-475f-a401-2d38c916cdd2" xmlns:ns3="26a61e59-50c6-4bd8-9e54-e38361052db6" targetNamespace="http://schemas.microsoft.com/office/2006/metadata/properties" ma:root="true" ma:fieldsID="a7f15c3dc2b65de0bc46196293b8b547" ns2:_="" ns3:_="">
    <xsd:import namespace="abe50dc3-7e8d-475f-a401-2d38c916cdd2"/>
    <xsd:import namespace="26a61e59-50c6-4bd8-9e54-e38361052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50dc3-7e8d-475f-a401-2d38c916c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363085a-3678-43a0-9d68-3efb112886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61e59-50c6-4bd8-9e54-e38361052db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a435277-be2d-4f4b-80a1-562db77deefe}" ma:internalName="TaxCatchAll" ma:showField="CatchAllData" ma:web="26a61e59-50c6-4bd8-9e54-e38361052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613759-9522-4BF9-98C0-9DC3ED156AD6}">
  <ds:schemaRefs>
    <ds:schemaRef ds:uri="http://schemas.microsoft.com/office/2006/metadata/properties"/>
    <ds:schemaRef ds:uri="http://schemas.microsoft.com/office/infopath/2007/PartnerControls"/>
    <ds:schemaRef ds:uri="26a61e59-50c6-4bd8-9e54-e38361052db6"/>
    <ds:schemaRef ds:uri="abe50dc3-7e8d-475f-a401-2d38c916cdd2"/>
  </ds:schemaRefs>
</ds:datastoreItem>
</file>

<file path=customXml/itemProps2.xml><?xml version="1.0" encoding="utf-8"?>
<ds:datastoreItem xmlns:ds="http://schemas.openxmlformats.org/officeDocument/2006/customXml" ds:itemID="{BB0439A3-F7D3-41E9-82DF-9949A8E90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e50dc3-7e8d-475f-a401-2d38c916cdd2"/>
    <ds:schemaRef ds:uri="26a61e59-50c6-4bd8-9e54-e38361052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D37FAC-766F-4CD8-854A-61E4D08379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</vt:i4>
      </vt:variant>
    </vt:vector>
  </HeadingPairs>
  <TitlesOfParts>
    <vt:vector size="12" baseType="lpstr">
      <vt:lpstr>DADOS</vt:lpstr>
      <vt:lpstr>ATUAL</vt:lpstr>
      <vt:lpstr>CQT ATUAL</vt:lpstr>
      <vt:lpstr>ATUAL+NC</vt:lpstr>
      <vt:lpstr>CQT ATUAL+NC</vt:lpstr>
      <vt:lpstr>PROJ 01</vt:lpstr>
      <vt:lpstr>CQT PROJ 01</vt:lpstr>
      <vt:lpstr>MELHORADO</vt:lpstr>
      <vt:lpstr>CQT MELHORADO</vt:lpstr>
      <vt:lpstr>BASE DE DADOS</vt:lpstr>
      <vt:lpstr>'BASE DE DADOS'!_FilterDatabase_0</vt:lpstr>
      <vt:lpstr>'BASE DE DADOS'!_FilterDatabase_0_0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Rodrigues Bizzo , Enel</dc:creator>
  <cp:lastModifiedBy>Jonatas da Rocha Lampa</cp:lastModifiedBy>
  <dcterms:created xsi:type="dcterms:W3CDTF">2019-06-27T21:57:56Z</dcterms:created>
  <dcterms:modified xsi:type="dcterms:W3CDTF">2025-12-26T21:56:49Z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ENEL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0x0101000FA5378FD9A10147BDDA735AB4ACDBF8</vt:lpwstr>
  </property>
</Properties>
</file>